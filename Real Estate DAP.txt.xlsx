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ae4e455abca7420/Documents/EISEN/DATASET/"/>
    </mc:Choice>
  </mc:AlternateContent>
  <xr:revisionPtr revIDLastSave="23" documentId="8_{2D90DBC2-3F68-4617-A695-2001ED31DC84}" xr6:coauthVersionLast="47" xr6:coauthVersionMax="47" xr10:uidLastSave="{395AAD6B-A4DF-4DC6-801F-6300B3B77300}"/>
  <bookViews>
    <workbookView xWindow="-108" yWindow="-108" windowWidth="23256" windowHeight="12456" xr2:uid="{71FBF4D0-D9FD-4AF6-8234-C05696B899CA}"/>
  </bookViews>
  <sheets>
    <sheet name="Dashboard" sheetId="11" r:id="rId1"/>
    <sheet name="Raw_Data" sheetId="1" r:id="rId2"/>
    <sheet name="Sales_Property Type" sheetId="6" r:id="rId3"/>
    <sheet name="Sales_Location" sheetId="7" r:id="rId4"/>
    <sheet name="Top Performing Agents" sheetId="8" r:id="rId5"/>
    <sheet name="Year over Year Growth" sheetId="9" r:id="rId6"/>
    <sheet name="Monthly Sales Trend" sheetId="10" r:id="rId7"/>
  </sheets>
  <calcPr calcId="191029"/>
  <pivotCaches>
    <pivotCache cacheId="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C12" i="9"/>
  <c r="C5" i="9"/>
  <c r="C6" i="9"/>
  <c r="C7" i="9"/>
  <c r="C8" i="9"/>
  <c r="C9" i="9"/>
  <c r="C10" i="9"/>
  <c r="C11" i="9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2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D501" i="1"/>
  <c r="E501" i="1"/>
  <c r="F501" i="1"/>
  <c r="G501" i="1"/>
  <c r="H501" i="1"/>
  <c r="I501" i="1"/>
  <c r="J501" i="1"/>
  <c r="K501" i="1"/>
  <c r="L501" i="1"/>
  <c r="M501" i="1"/>
  <c r="N501" i="1"/>
  <c r="O501" i="1"/>
  <c r="C501" i="1"/>
  <c r="J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2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2" i="1"/>
  <c r="K3" i="1"/>
  <c r="K4" i="1"/>
  <c r="K5" i="1"/>
  <c r="K6" i="1"/>
  <c r="K7" i="1"/>
  <c r="K8" i="1"/>
  <c r="P8" i="1" s="1"/>
  <c r="K9" i="1"/>
  <c r="P9" i="1" s="1"/>
  <c r="K10" i="1"/>
  <c r="P10" i="1" s="1"/>
  <c r="K11" i="1"/>
  <c r="P11" i="1" s="1"/>
  <c r="K12" i="1"/>
  <c r="P12" i="1" s="1"/>
  <c r="K13" i="1"/>
  <c r="K14" i="1"/>
  <c r="K15" i="1"/>
  <c r="K16" i="1"/>
  <c r="K17" i="1"/>
  <c r="K18" i="1"/>
  <c r="K19" i="1"/>
  <c r="K20" i="1"/>
  <c r="P20" i="1" s="1"/>
  <c r="K21" i="1"/>
  <c r="P21" i="1" s="1"/>
  <c r="K22" i="1"/>
  <c r="P22" i="1" s="1"/>
  <c r="K23" i="1"/>
  <c r="P23" i="1" s="1"/>
  <c r="K24" i="1"/>
  <c r="P24" i="1" s="1"/>
  <c r="K25" i="1"/>
  <c r="K26" i="1"/>
  <c r="K27" i="1"/>
  <c r="K28" i="1"/>
  <c r="K29" i="1"/>
  <c r="K30" i="1"/>
  <c r="K31" i="1"/>
  <c r="K32" i="1"/>
  <c r="P32" i="1" s="1"/>
  <c r="K33" i="1"/>
  <c r="P33" i="1" s="1"/>
  <c r="K34" i="1"/>
  <c r="P34" i="1" s="1"/>
  <c r="K35" i="1"/>
  <c r="P35" i="1" s="1"/>
  <c r="K36" i="1"/>
  <c r="P36" i="1" s="1"/>
  <c r="K37" i="1"/>
  <c r="K38" i="1"/>
  <c r="K39" i="1"/>
  <c r="K40" i="1"/>
  <c r="K41" i="1"/>
  <c r="K42" i="1"/>
  <c r="K43" i="1"/>
  <c r="K44" i="1"/>
  <c r="P44" i="1" s="1"/>
  <c r="K45" i="1"/>
  <c r="P45" i="1" s="1"/>
  <c r="K46" i="1"/>
  <c r="P46" i="1" s="1"/>
  <c r="K47" i="1"/>
  <c r="P47" i="1" s="1"/>
  <c r="K48" i="1"/>
  <c r="P48" i="1" s="1"/>
  <c r="K49" i="1"/>
  <c r="K50" i="1"/>
  <c r="K51" i="1"/>
  <c r="K52" i="1"/>
  <c r="K53" i="1"/>
  <c r="K54" i="1"/>
  <c r="K55" i="1"/>
  <c r="K56" i="1"/>
  <c r="P56" i="1" s="1"/>
  <c r="K57" i="1"/>
  <c r="P57" i="1" s="1"/>
  <c r="K58" i="1"/>
  <c r="P58" i="1" s="1"/>
  <c r="K59" i="1"/>
  <c r="P59" i="1" s="1"/>
  <c r="K60" i="1"/>
  <c r="P60" i="1" s="1"/>
  <c r="K61" i="1"/>
  <c r="K62" i="1"/>
  <c r="K63" i="1"/>
  <c r="K64" i="1"/>
  <c r="K65" i="1"/>
  <c r="K66" i="1"/>
  <c r="K67" i="1"/>
  <c r="K68" i="1"/>
  <c r="P68" i="1" s="1"/>
  <c r="K69" i="1"/>
  <c r="P69" i="1" s="1"/>
  <c r="K70" i="1"/>
  <c r="P70" i="1" s="1"/>
  <c r="K71" i="1"/>
  <c r="P71" i="1" s="1"/>
  <c r="K72" i="1"/>
  <c r="P72" i="1" s="1"/>
  <c r="K73" i="1"/>
  <c r="K74" i="1"/>
  <c r="K75" i="1"/>
  <c r="K76" i="1"/>
  <c r="K77" i="1"/>
  <c r="K78" i="1"/>
  <c r="K79" i="1"/>
  <c r="K80" i="1"/>
  <c r="P80" i="1" s="1"/>
  <c r="K81" i="1"/>
  <c r="P81" i="1" s="1"/>
  <c r="K82" i="1"/>
  <c r="P82" i="1" s="1"/>
  <c r="K83" i="1"/>
  <c r="P83" i="1" s="1"/>
  <c r="K84" i="1"/>
  <c r="P84" i="1" s="1"/>
  <c r="K85" i="1"/>
  <c r="K86" i="1"/>
  <c r="K87" i="1"/>
  <c r="K88" i="1"/>
  <c r="K89" i="1"/>
  <c r="K90" i="1"/>
  <c r="K91" i="1"/>
  <c r="K92" i="1"/>
  <c r="P92" i="1" s="1"/>
  <c r="K93" i="1"/>
  <c r="P93" i="1" s="1"/>
  <c r="K94" i="1"/>
  <c r="P94" i="1" s="1"/>
  <c r="K95" i="1"/>
  <c r="P95" i="1" s="1"/>
  <c r="K96" i="1"/>
  <c r="P96" i="1" s="1"/>
  <c r="K97" i="1"/>
  <c r="K98" i="1"/>
  <c r="K99" i="1"/>
  <c r="K100" i="1"/>
  <c r="K101" i="1"/>
  <c r="K102" i="1"/>
  <c r="K103" i="1"/>
  <c r="K104" i="1"/>
  <c r="P104" i="1" s="1"/>
  <c r="K105" i="1"/>
  <c r="P105" i="1" s="1"/>
  <c r="K106" i="1"/>
  <c r="P106" i="1" s="1"/>
  <c r="K107" i="1"/>
  <c r="P107" i="1" s="1"/>
  <c r="K108" i="1"/>
  <c r="P108" i="1" s="1"/>
  <c r="K109" i="1"/>
  <c r="K110" i="1"/>
  <c r="K111" i="1"/>
  <c r="K112" i="1"/>
  <c r="K113" i="1"/>
  <c r="K114" i="1"/>
  <c r="K115" i="1"/>
  <c r="K116" i="1"/>
  <c r="P116" i="1" s="1"/>
  <c r="K117" i="1"/>
  <c r="P117" i="1" s="1"/>
  <c r="K118" i="1"/>
  <c r="P118" i="1" s="1"/>
  <c r="K119" i="1"/>
  <c r="P119" i="1" s="1"/>
  <c r="K120" i="1"/>
  <c r="P120" i="1" s="1"/>
  <c r="K121" i="1"/>
  <c r="K122" i="1"/>
  <c r="K123" i="1"/>
  <c r="K124" i="1"/>
  <c r="K125" i="1"/>
  <c r="K126" i="1"/>
  <c r="K127" i="1"/>
  <c r="K128" i="1"/>
  <c r="P128" i="1" s="1"/>
  <c r="K129" i="1"/>
  <c r="P129" i="1" s="1"/>
  <c r="K130" i="1"/>
  <c r="P130" i="1" s="1"/>
  <c r="K131" i="1"/>
  <c r="P131" i="1" s="1"/>
  <c r="K132" i="1"/>
  <c r="P132" i="1" s="1"/>
  <c r="K133" i="1"/>
  <c r="K134" i="1"/>
  <c r="K135" i="1"/>
  <c r="K136" i="1"/>
  <c r="K137" i="1"/>
  <c r="K138" i="1"/>
  <c r="K139" i="1"/>
  <c r="K140" i="1"/>
  <c r="P140" i="1" s="1"/>
  <c r="K141" i="1"/>
  <c r="P141" i="1" s="1"/>
  <c r="K142" i="1"/>
  <c r="P142" i="1" s="1"/>
  <c r="K143" i="1"/>
  <c r="P143" i="1" s="1"/>
  <c r="K144" i="1"/>
  <c r="P144" i="1" s="1"/>
  <c r="K145" i="1"/>
  <c r="K146" i="1"/>
  <c r="K147" i="1"/>
  <c r="K148" i="1"/>
  <c r="K149" i="1"/>
  <c r="K150" i="1"/>
  <c r="K151" i="1"/>
  <c r="K152" i="1"/>
  <c r="P152" i="1" s="1"/>
  <c r="K153" i="1"/>
  <c r="P153" i="1" s="1"/>
  <c r="K154" i="1"/>
  <c r="P154" i="1" s="1"/>
  <c r="K155" i="1"/>
  <c r="P155" i="1" s="1"/>
  <c r="K156" i="1"/>
  <c r="P156" i="1" s="1"/>
  <c r="K157" i="1"/>
  <c r="K158" i="1"/>
  <c r="K159" i="1"/>
  <c r="K160" i="1"/>
  <c r="K161" i="1"/>
  <c r="K162" i="1"/>
  <c r="K163" i="1"/>
  <c r="K164" i="1"/>
  <c r="P164" i="1" s="1"/>
  <c r="K165" i="1"/>
  <c r="P165" i="1" s="1"/>
  <c r="K166" i="1"/>
  <c r="P166" i="1" s="1"/>
  <c r="K167" i="1"/>
  <c r="P167" i="1" s="1"/>
  <c r="K168" i="1"/>
  <c r="P168" i="1" s="1"/>
  <c r="K169" i="1"/>
  <c r="K170" i="1"/>
  <c r="K171" i="1"/>
  <c r="K172" i="1"/>
  <c r="K173" i="1"/>
  <c r="K174" i="1"/>
  <c r="K175" i="1"/>
  <c r="K176" i="1"/>
  <c r="P176" i="1" s="1"/>
  <c r="K177" i="1"/>
  <c r="P177" i="1" s="1"/>
  <c r="K178" i="1"/>
  <c r="P178" i="1" s="1"/>
  <c r="K179" i="1"/>
  <c r="P179" i="1" s="1"/>
  <c r="K180" i="1"/>
  <c r="P180" i="1" s="1"/>
  <c r="K181" i="1"/>
  <c r="K182" i="1"/>
  <c r="K183" i="1"/>
  <c r="K184" i="1"/>
  <c r="K185" i="1"/>
  <c r="K186" i="1"/>
  <c r="K187" i="1"/>
  <c r="K188" i="1"/>
  <c r="P188" i="1" s="1"/>
  <c r="K189" i="1"/>
  <c r="P189" i="1" s="1"/>
  <c r="K190" i="1"/>
  <c r="P190" i="1" s="1"/>
  <c r="K191" i="1"/>
  <c r="P191" i="1" s="1"/>
  <c r="K192" i="1"/>
  <c r="P192" i="1" s="1"/>
  <c r="K193" i="1"/>
  <c r="K194" i="1"/>
  <c r="K195" i="1"/>
  <c r="K196" i="1"/>
  <c r="K197" i="1"/>
  <c r="K198" i="1"/>
  <c r="K199" i="1"/>
  <c r="K200" i="1"/>
  <c r="P200" i="1" s="1"/>
  <c r="K201" i="1"/>
  <c r="P201" i="1" s="1"/>
  <c r="K202" i="1"/>
  <c r="P202" i="1" s="1"/>
  <c r="K203" i="1"/>
  <c r="P203" i="1" s="1"/>
  <c r="K204" i="1"/>
  <c r="P204" i="1" s="1"/>
  <c r="K205" i="1"/>
  <c r="K206" i="1"/>
  <c r="K207" i="1"/>
  <c r="K208" i="1"/>
  <c r="K209" i="1"/>
  <c r="K210" i="1"/>
  <c r="K211" i="1"/>
  <c r="K212" i="1"/>
  <c r="P212" i="1" s="1"/>
  <c r="K213" i="1"/>
  <c r="P213" i="1" s="1"/>
  <c r="K214" i="1"/>
  <c r="P214" i="1" s="1"/>
  <c r="K215" i="1"/>
  <c r="P215" i="1" s="1"/>
  <c r="K216" i="1"/>
  <c r="P216" i="1" s="1"/>
  <c r="K217" i="1"/>
  <c r="K218" i="1"/>
  <c r="K219" i="1"/>
  <c r="K220" i="1"/>
  <c r="K221" i="1"/>
  <c r="K222" i="1"/>
  <c r="K223" i="1"/>
  <c r="K224" i="1"/>
  <c r="P224" i="1" s="1"/>
  <c r="K225" i="1"/>
  <c r="P225" i="1" s="1"/>
  <c r="K226" i="1"/>
  <c r="P226" i="1" s="1"/>
  <c r="K227" i="1"/>
  <c r="P227" i="1" s="1"/>
  <c r="K228" i="1"/>
  <c r="P228" i="1" s="1"/>
  <c r="K229" i="1"/>
  <c r="K230" i="1"/>
  <c r="K231" i="1"/>
  <c r="K232" i="1"/>
  <c r="K233" i="1"/>
  <c r="K234" i="1"/>
  <c r="K235" i="1"/>
  <c r="K236" i="1"/>
  <c r="P236" i="1" s="1"/>
  <c r="K237" i="1"/>
  <c r="P237" i="1" s="1"/>
  <c r="K238" i="1"/>
  <c r="P238" i="1" s="1"/>
  <c r="K239" i="1"/>
  <c r="P239" i="1" s="1"/>
  <c r="K240" i="1"/>
  <c r="P240" i="1" s="1"/>
  <c r="K241" i="1"/>
  <c r="K242" i="1"/>
  <c r="K243" i="1"/>
  <c r="K244" i="1"/>
  <c r="K245" i="1"/>
  <c r="K246" i="1"/>
  <c r="K247" i="1"/>
  <c r="K248" i="1"/>
  <c r="P248" i="1" s="1"/>
  <c r="K249" i="1"/>
  <c r="P249" i="1" s="1"/>
  <c r="K250" i="1"/>
  <c r="P250" i="1" s="1"/>
  <c r="K251" i="1"/>
  <c r="P251" i="1" s="1"/>
  <c r="K252" i="1"/>
  <c r="P252" i="1" s="1"/>
  <c r="K253" i="1"/>
  <c r="K254" i="1"/>
  <c r="K255" i="1"/>
  <c r="K256" i="1"/>
  <c r="K257" i="1"/>
  <c r="K258" i="1"/>
  <c r="K259" i="1"/>
  <c r="K260" i="1"/>
  <c r="P260" i="1" s="1"/>
  <c r="K261" i="1"/>
  <c r="P261" i="1" s="1"/>
  <c r="K262" i="1"/>
  <c r="P262" i="1" s="1"/>
  <c r="K263" i="1"/>
  <c r="P263" i="1" s="1"/>
  <c r="K264" i="1"/>
  <c r="P264" i="1" s="1"/>
  <c r="K265" i="1"/>
  <c r="K266" i="1"/>
  <c r="K267" i="1"/>
  <c r="K268" i="1"/>
  <c r="K269" i="1"/>
  <c r="K270" i="1"/>
  <c r="K271" i="1"/>
  <c r="K272" i="1"/>
  <c r="P272" i="1" s="1"/>
  <c r="K273" i="1"/>
  <c r="P273" i="1" s="1"/>
  <c r="K274" i="1"/>
  <c r="P274" i="1" s="1"/>
  <c r="K275" i="1"/>
  <c r="P275" i="1" s="1"/>
  <c r="K276" i="1"/>
  <c r="P276" i="1" s="1"/>
  <c r="K277" i="1"/>
  <c r="K278" i="1"/>
  <c r="K279" i="1"/>
  <c r="K280" i="1"/>
  <c r="K281" i="1"/>
  <c r="K282" i="1"/>
  <c r="K283" i="1"/>
  <c r="K284" i="1"/>
  <c r="P284" i="1" s="1"/>
  <c r="K285" i="1"/>
  <c r="P285" i="1" s="1"/>
  <c r="K286" i="1"/>
  <c r="P286" i="1" s="1"/>
  <c r="K287" i="1"/>
  <c r="P287" i="1" s="1"/>
  <c r="K288" i="1"/>
  <c r="P288" i="1" s="1"/>
  <c r="K289" i="1"/>
  <c r="K290" i="1"/>
  <c r="K291" i="1"/>
  <c r="K292" i="1"/>
  <c r="K293" i="1"/>
  <c r="K294" i="1"/>
  <c r="K295" i="1"/>
  <c r="K296" i="1"/>
  <c r="P296" i="1" s="1"/>
  <c r="K297" i="1"/>
  <c r="P297" i="1" s="1"/>
  <c r="K298" i="1"/>
  <c r="P298" i="1" s="1"/>
  <c r="K299" i="1"/>
  <c r="P299" i="1" s="1"/>
  <c r="K300" i="1"/>
  <c r="P300" i="1" s="1"/>
  <c r="K301" i="1"/>
  <c r="K302" i="1"/>
  <c r="K303" i="1"/>
  <c r="K304" i="1"/>
  <c r="K305" i="1"/>
  <c r="K306" i="1"/>
  <c r="K307" i="1"/>
  <c r="K308" i="1"/>
  <c r="P308" i="1" s="1"/>
  <c r="K309" i="1"/>
  <c r="P309" i="1" s="1"/>
  <c r="K310" i="1"/>
  <c r="P310" i="1" s="1"/>
  <c r="K311" i="1"/>
  <c r="P311" i="1" s="1"/>
  <c r="K312" i="1"/>
  <c r="P312" i="1" s="1"/>
  <c r="K313" i="1"/>
  <c r="K314" i="1"/>
  <c r="K315" i="1"/>
  <c r="K316" i="1"/>
  <c r="K317" i="1"/>
  <c r="K318" i="1"/>
  <c r="K319" i="1"/>
  <c r="K320" i="1"/>
  <c r="P320" i="1" s="1"/>
  <c r="K321" i="1"/>
  <c r="P321" i="1" s="1"/>
  <c r="K322" i="1"/>
  <c r="P322" i="1" s="1"/>
  <c r="K323" i="1"/>
  <c r="P323" i="1" s="1"/>
  <c r="K324" i="1"/>
  <c r="P324" i="1" s="1"/>
  <c r="K325" i="1"/>
  <c r="K326" i="1"/>
  <c r="K327" i="1"/>
  <c r="K328" i="1"/>
  <c r="K329" i="1"/>
  <c r="K330" i="1"/>
  <c r="K331" i="1"/>
  <c r="K332" i="1"/>
  <c r="P332" i="1" s="1"/>
  <c r="K333" i="1"/>
  <c r="P333" i="1" s="1"/>
  <c r="K334" i="1"/>
  <c r="P334" i="1" s="1"/>
  <c r="K335" i="1"/>
  <c r="P335" i="1" s="1"/>
  <c r="K336" i="1"/>
  <c r="P336" i="1" s="1"/>
  <c r="K337" i="1"/>
  <c r="K338" i="1"/>
  <c r="K339" i="1"/>
  <c r="K340" i="1"/>
  <c r="K341" i="1"/>
  <c r="K342" i="1"/>
  <c r="K343" i="1"/>
  <c r="K344" i="1"/>
  <c r="P344" i="1" s="1"/>
  <c r="K345" i="1"/>
  <c r="P345" i="1" s="1"/>
  <c r="K346" i="1"/>
  <c r="P346" i="1" s="1"/>
  <c r="K347" i="1"/>
  <c r="P347" i="1" s="1"/>
  <c r="K348" i="1"/>
  <c r="P348" i="1" s="1"/>
  <c r="K349" i="1"/>
  <c r="K350" i="1"/>
  <c r="K351" i="1"/>
  <c r="K352" i="1"/>
  <c r="K353" i="1"/>
  <c r="K354" i="1"/>
  <c r="K355" i="1"/>
  <c r="K356" i="1"/>
  <c r="P356" i="1" s="1"/>
  <c r="K357" i="1"/>
  <c r="P357" i="1" s="1"/>
  <c r="K358" i="1"/>
  <c r="P358" i="1" s="1"/>
  <c r="K359" i="1"/>
  <c r="P359" i="1" s="1"/>
  <c r="K360" i="1"/>
  <c r="P360" i="1" s="1"/>
  <c r="K361" i="1"/>
  <c r="K362" i="1"/>
  <c r="K363" i="1"/>
  <c r="K364" i="1"/>
  <c r="K365" i="1"/>
  <c r="K366" i="1"/>
  <c r="K367" i="1"/>
  <c r="K368" i="1"/>
  <c r="P368" i="1" s="1"/>
  <c r="K369" i="1"/>
  <c r="P369" i="1" s="1"/>
  <c r="K370" i="1"/>
  <c r="P370" i="1" s="1"/>
  <c r="K371" i="1"/>
  <c r="P371" i="1" s="1"/>
  <c r="K372" i="1"/>
  <c r="P372" i="1" s="1"/>
  <c r="K373" i="1"/>
  <c r="K374" i="1"/>
  <c r="K375" i="1"/>
  <c r="K376" i="1"/>
  <c r="K377" i="1"/>
  <c r="K378" i="1"/>
  <c r="K379" i="1"/>
  <c r="K380" i="1"/>
  <c r="P380" i="1" s="1"/>
  <c r="K381" i="1"/>
  <c r="P381" i="1" s="1"/>
  <c r="K382" i="1"/>
  <c r="P382" i="1" s="1"/>
  <c r="K383" i="1"/>
  <c r="P383" i="1" s="1"/>
  <c r="K384" i="1"/>
  <c r="P384" i="1" s="1"/>
  <c r="K385" i="1"/>
  <c r="K386" i="1"/>
  <c r="K387" i="1"/>
  <c r="K388" i="1"/>
  <c r="K389" i="1"/>
  <c r="K390" i="1"/>
  <c r="K391" i="1"/>
  <c r="K392" i="1"/>
  <c r="P392" i="1" s="1"/>
  <c r="K393" i="1"/>
  <c r="P393" i="1" s="1"/>
  <c r="K394" i="1"/>
  <c r="P394" i="1" s="1"/>
  <c r="K395" i="1"/>
  <c r="P395" i="1" s="1"/>
  <c r="K396" i="1"/>
  <c r="P396" i="1" s="1"/>
  <c r="K397" i="1"/>
  <c r="K398" i="1"/>
  <c r="K399" i="1"/>
  <c r="K400" i="1"/>
  <c r="K401" i="1"/>
  <c r="K402" i="1"/>
  <c r="K403" i="1"/>
  <c r="K404" i="1"/>
  <c r="P404" i="1" s="1"/>
  <c r="K405" i="1"/>
  <c r="P405" i="1" s="1"/>
  <c r="K406" i="1"/>
  <c r="P406" i="1" s="1"/>
  <c r="K407" i="1"/>
  <c r="P407" i="1" s="1"/>
  <c r="K408" i="1"/>
  <c r="P408" i="1" s="1"/>
  <c r="K409" i="1"/>
  <c r="K410" i="1"/>
  <c r="K411" i="1"/>
  <c r="K412" i="1"/>
  <c r="K413" i="1"/>
  <c r="K414" i="1"/>
  <c r="K415" i="1"/>
  <c r="K416" i="1"/>
  <c r="P416" i="1" s="1"/>
  <c r="K417" i="1"/>
  <c r="P417" i="1" s="1"/>
  <c r="K418" i="1"/>
  <c r="P418" i="1" s="1"/>
  <c r="K419" i="1"/>
  <c r="P419" i="1" s="1"/>
  <c r="K420" i="1"/>
  <c r="P420" i="1" s="1"/>
  <c r="K421" i="1"/>
  <c r="K422" i="1"/>
  <c r="K423" i="1"/>
  <c r="K424" i="1"/>
  <c r="K425" i="1"/>
  <c r="K426" i="1"/>
  <c r="K427" i="1"/>
  <c r="K428" i="1"/>
  <c r="P428" i="1" s="1"/>
  <c r="K429" i="1"/>
  <c r="P429" i="1" s="1"/>
  <c r="K430" i="1"/>
  <c r="P430" i="1" s="1"/>
  <c r="K431" i="1"/>
  <c r="P431" i="1" s="1"/>
  <c r="K432" i="1"/>
  <c r="P432" i="1" s="1"/>
  <c r="K433" i="1"/>
  <c r="K434" i="1"/>
  <c r="K435" i="1"/>
  <c r="K436" i="1"/>
  <c r="K437" i="1"/>
  <c r="K438" i="1"/>
  <c r="K439" i="1"/>
  <c r="K440" i="1"/>
  <c r="P440" i="1" s="1"/>
  <c r="K441" i="1"/>
  <c r="P441" i="1" s="1"/>
  <c r="K442" i="1"/>
  <c r="P442" i="1" s="1"/>
  <c r="K443" i="1"/>
  <c r="P443" i="1" s="1"/>
  <c r="K444" i="1"/>
  <c r="P444" i="1" s="1"/>
  <c r="K445" i="1"/>
  <c r="K446" i="1"/>
  <c r="K447" i="1"/>
  <c r="K448" i="1"/>
  <c r="K449" i="1"/>
  <c r="K450" i="1"/>
  <c r="K451" i="1"/>
  <c r="K452" i="1"/>
  <c r="P452" i="1" s="1"/>
  <c r="K453" i="1"/>
  <c r="P453" i="1" s="1"/>
  <c r="K454" i="1"/>
  <c r="P454" i="1" s="1"/>
  <c r="K455" i="1"/>
  <c r="P455" i="1" s="1"/>
  <c r="K456" i="1"/>
  <c r="P456" i="1" s="1"/>
  <c r="K457" i="1"/>
  <c r="K458" i="1"/>
  <c r="K459" i="1"/>
  <c r="K460" i="1"/>
  <c r="K461" i="1"/>
  <c r="K462" i="1"/>
  <c r="K463" i="1"/>
  <c r="K464" i="1"/>
  <c r="P464" i="1" s="1"/>
  <c r="K465" i="1"/>
  <c r="P465" i="1" s="1"/>
  <c r="K466" i="1"/>
  <c r="P466" i="1" s="1"/>
  <c r="K467" i="1"/>
  <c r="P467" i="1" s="1"/>
  <c r="K468" i="1"/>
  <c r="P468" i="1" s="1"/>
  <c r="K469" i="1"/>
  <c r="K470" i="1"/>
  <c r="K471" i="1"/>
  <c r="K472" i="1"/>
  <c r="K473" i="1"/>
  <c r="K474" i="1"/>
  <c r="K475" i="1"/>
  <c r="K476" i="1"/>
  <c r="P476" i="1" s="1"/>
  <c r="K477" i="1"/>
  <c r="P477" i="1" s="1"/>
  <c r="K478" i="1"/>
  <c r="P478" i="1" s="1"/>
  <c r="K479" i="1"/>
  <c r="P479" i="1" s="1"/>
  <c r="K480" i="1"/>
  <c r="P480" i="1" s="1"/>
  <c r="K481" i="1"/>
  <c r="K482" i="1"/>
  <c r="K483" i="1"/>
  <c r="K484" i="1"/>
  <c r="K485" i="1"/>
  <c r="K486" i="1"/>
  <c r="K487" i="1"/>
  <c r="K488" i="1"/>
  <c r="P488" i="1" s="1"/>
  <c r="K489" i="1"/>
  <c r="P489" i="1" s="1"/>
  <c r="K490" i="1"/>
  <c r="P490" i="1" s="1"/>
  <c r="K491" i="1"/>
  <c r="P491" i="1" s="1"/>
  <c r="K492" i="1"/>
  <c r="P492" i="1" s="1"/>
  <c r="K493" i="1"/>
  <c r="K494" i="1"/>
  <c r="K495" i="1"/>
  <c r="K496" i="1"/>
  <c r="K497" i="1"/>
  <c r="K498" i="1"/>
  <c r="K499" i="1"/>
  <c r="K500" i="1"/>
  <c r="P500" i="1" s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2" i="1"/>
  <c r="S89" i="1" l="1"/>
  <c r="R89" i="1" s="1"/>
  <c r="S65" i="1"/>
  <c r="R65" i="1" s="1"/>
  <c r="S120" i="1"/>
  <c r="R120" i="1" s="1"/>
  <c r="P484" i="1"/>
  <c r="P412" i="1"/>
  <c r="P352" i="1"/>
  <c r="P292" i="1"/>
  <c r="P232" i="1"/>
  <c r="P172" i="1"/>
  <c r="P112" i="1"/>
  <c r="P40" i="1"/>
  <c r="P459" i="1"/>
  <c r="P411" i="1"/>
  <c r="P363" i="1"/>
  <c r="P303" i="1"/>
  <c r="P231" i="1"/>
  <c r="P159" i="1"/>
  <c r="P87" i="1"/>
  <c r="P3" i="1"/>
  <c r="P482" i="1"/>
  <c r="P398" i="1"/>
  <c r="P338" i="1"/>
  <c r="P266" i="1"/>
  <c r="P206" i="1"/>
  <c r="P134" i="1"/>
  <c r="P74" i="1"/>
  <c r="P460" i="1"/>
  <c r="P400" i="1"/>
  <c r="P340" i="1"/>
  <c r="P280" i="1"/>
  <c r="P220" i="1"/>
  <c r="P160" i="1"/>
  <c r="P100" i="1"/>
  <c r="P52" i="1"/>
  <c r="P4" i="1"/>
  <c r="P501" i="1"/>
  <c r="P483" i="1"/>
  <c r="P435" i="1"/>
  <c r="P387" i="1"/>
  <c r="P339" i="1"/>
  <c r="P291" i="1"/>
  <c r="P243" i="1"/>
  <c r="P171" i="1"/>
  <c r="P111" i="1"/>
  <c r="P39" i="1"/>
  <c r="P446" i="1"/>
  <c r="P422" i="1"/>
  <c r="P374" i="1"/>
  <c r="P314" i="1"/>
  <c r="P254" i="1"/>
  <c r="P170" i="1"/>
  <c r="P110" i="1"/>
  <c r="P38" i="1"/>
  <c r="P472" i="1"/>
  <c r="P424" i="1"/>
  <c r="P364" i="1"/>
  <c r="P304" i="1"/>
  <c r="P244" i="1"/>
  <c r="P184" i="1"/>
  <c r="P124" i="1"/>
  <c r="P64" i="1"/>
  <c r="P471" i="1"/>
  <c r="P423" i="1"/>
  <c r="P375" i="1"/>
  <c r="P315" i="1"/>
  <c r="P255" i="1"/>
  <c r="P195" i="1"/>
  <c r="P123" i="1"/>
  <c r="P63" i="1"/>
  <c r="P458" i="1"/>
  <c r="P386" i="1"/>
  <c r="P326" i="1"/>
  <c r="P278" i="1"/>
  <c r="P218" i="1"/>
  <c r="P146" i="1"/>
  <c r="P62" i="1"/>
  <c r="P496" i="1"/>
  <c r="P436" i="1"/>
  <c r="P376" i="1"/>
  <c r="P316" i="1"/>
  <c r="P256" i="1"/>
  <c r="P196" i="1"/>
  <c r="P136" i="1"/>
  <c r="P76" i="1"/>
  <c r="P16" i="1"/>
  <c r="P495" i="1"/>
  <c r="P351" i="1"/>
  <c r="P279" i="1"/>
  <c r="P219" i="1"/>
  <c r="P183" i="1"/>
  <c r="P147" i="1"/>
  <c r="P99" i="1"/>
  <c r="P51" i="1"/>
  <c r="P15" i="1"/>
  <c r="P494" i="1"/>
  <c r="P434" i="1"/>
  <c r="P362" i="1"/>
  <c r="P302" i="1"/>
  <c r="P242" i="1"/>
  <c r="P182" i="1"/>
  <c r="P122" i="1"/>
  <c r="P86" i="1"/>
  <c r="P26" i="1"/>
  <c r="P448" i="1"/>
  <c r="P388" i="1"/>
  <c r="P328" i="1"/>
  <c r="P268" i="1"/>
  <c r="P208" i="1"/>
  <c r="P148" i="1"/>
  <c r="P88" i="1"/>
  <c r="P28" i="1"/>
  <c r="P447" i="1"/>
  <c r="P399" i="1"/>
  <c r="P327" i="1"/>
  <c r="P267" i="1"/>
  <c r="P207" i="1"/>
  <c r="P135" i="1"/>
  <c r="P75" i="1"/>
  <c r="P27" i="1"/>
  <c r="P470" i="1"/>
  <c r="P410" i="1"/>
  <c r="P350" i="1"/>
  <c r="P290" i="1"/>
  <c r="P230" i="1"/>
  <c r="P194" i="1"/>
  <c r="P158" i="1"/>
  <c r="P98" i="1"/>
  <c r="P50" i="1"/>
  <c r="P14" i="1"/>
  <c r="S347" i="1"/>
  <c r="R347" i="1" s="1"/>
  <c r="S401" i="1"/>
  <c r="R401" i="1" s="1"/>
  <c r="S329" i="1"/>
  <c r="R329" i="1" s="1"/>
  <c r="S293" i="1"/>
  <c r="R293" i="1" s="1"/>
  <c r="S161" i="1"/>
  <c r="R161" i="1" s="1"/>
  <c r="S432" i="1"/>
  <c r="R432" i="1" s="1"/>
  <c r="S420" i="1"/>
  <c r="R420" i="1" s="1"/>
  <c r="S384" i="1"/>
  <c r="R384" i="1" s="1"/>
  <c r="S491" i="1"/>
  <c r="R491" i="1" s="1"/>
  <c r="S443" i="1"/>
  <c r="R443" i="1" s="1"/>
  <c r="S407" i="1"/>
  <c r="R407" i="1" s="1"/>
  <c r="S23" i="1"/>
  <c r="R23" i="1" s="1"/>
  <c r="S408" i="1"/>
  <c r="R408" i="1" s="1"/>
  <c r="S372" i="1"/>
  <c r="R372" i="1" s="1"/>
  <c r="S312" i="1"/>
  <c r="R312" i="1" s="1"/>
  <c r="S479" i="1"/>
  <c r="R479" i="1" s="1"/>
  <c r="S455" i="1"/>
  <c r="R455" i="1" s="1"/>
  <c r="S371" i="1"/>
  <c r="R371" i="1" s="1"/>
  <c r="S323" i="1"/>
  <c r="R323" i="1" s="1"/>
  <c r="S287" i="1"/>
  <c r="R287" i="1" s="1"/>
  <c r="S490" i="1"/>
  <c r="R490" i="1" s="1"/>
  <c r="S466" i="1"/>
  <c r="R466" i="1" s="1"/>
  <c r="S430" i="1"/>
  <c r="R430" i="1" s="1"/>
  <c r="S406" i="1"/>
  <c r="R406" i="1" s="1"/>
  <c r="S382" i="1"/>
  <c r="R382" i="1" s="1"/>
  <c r="S358" i="1"/>
  <c r="R358" i="1" s="1"/>
  <c r="S334" i="1"/>
  <c r="R334" i="1" s="1"/>
  <c r="S298" i="1"/>
  <c r="R298" i="1" s="1"/>
  <c r="S286" i="1"/>
  <c r="R286" i="1" s="1"/>
  <c r="S250" i="1"/>
  <c r="R250" i="1" s="1"/>
  <c r="S238" i="1"/>
  <c r="R238" i="1" s="1"/>
  <c r="S214" i="1"/>
  <c r="R214" i="1" s="1"/>
  <c r="S178" i="1"/>
  <c r="R178" i="1" s="1"/>
  <c r="S166" i="1"/>
  <c r="R166" i="1" s="1"/>
  <c r="S130" i="1"/>
  <c r="R130" i="1" s="1"/>
  <c r="S106" i="1"/>
  <c r="R106" i="1" s="1"/>
  <c r="S82" i="1"/>
  <c r="R82" i="1" s="1"/>
  <c r="S46" i="1"/>
  <c r="R46" i="1" s="1"/>
  <c r="S10" i="1"/>
  <c r="R10" i="1" s="1"/>
  <c r="S396" i="1"/>
  <c r="R396" i="1" s="1"/>
  <c r="S348" i="1"/>
  <c r="R348" i="1" s="1"/>
  <c r="S419" i="1"/>
  <c r="R419" i="1" s="1"/>
  <c r="S45" i="1"/>
  <c r="R45" i="1" s="1"/>
  <c r="S9" i="1"/>
  <c r="R9" i="1" s="1"/>
  <c r="S41" i="1"/>
  <c r="R41" i="1" s="1"/>
  <c r="S460" i="1"/>
  <c r="R460" i="1" s="1"/>
  <c r="S424" i="1"/>
  <c r="R424" i="1" s="1"/>
  <c r="S376" i="1"/>
  <c r="R376" i="1" s="1"/>
  <c r="S340" i="1"/>
  <c r="R340" i="1" s="1"/>
  <c r="S244" i="1"/>
  <c r="R244" i="1" s="1"/>
  <c r="S208" i="1"/>
  <c r="R208" i="1" s="1"/>
  <c r="S172" i="1"/>
  <c r="R172" i="1" s="1"/>
  <c r="S136" i="1"/>
  <c r="R136" i="1" s="1"/>
  <c r="S76" i="1"/>
  <c r="R76" i="1" s="1"/>
  <c r="S28" i="1"/>
  <c r="R28" i="1" s="1"/>
  <c r="S471" i="1"/>
  <c r="R471" i="1" s="1"/>
  <c r="S459" i="1"/>
  <c r="R459" i="1" s="1"/>
  <c r="S435" i="1"/>
  <c r="R435" i="1" s="1"/>
  <c r="S399" i="1"/>
  <c r="R399" i="1" s="1"/>
  <c r="S375" i="1"/>
  <c r="R375" i="1" s="1"/>
  <c r="S351" i="1"/>
  <c r="R351" i="1" s="1"/>
  <c r="S339" i="1"/>
  <c r="R339" i="1" s="1"/>
  <c r="S327" i="1"/>
  <c r="R327" i="1" s="1"/>
  <c r="S315" i="1"/>
  <c r="R315" i="1" s="1"/>
  <c r="S279" i="1"/>
  <c r="R279" i="1" s="1"/>
  <c r="S255" i="1"/>
  <c r="R255" i="1" s="1"/>
  <c r="S243" i="1"/>
  <c r="R243" i="1" s="1"/>
  <c r="S231" i="1"/>
  <c r="R231" i="1" s="1"/>
  <c r="S183" i="1"/>
  <c r="R183" i="1" s="1"/>
  <c r="S171" i="1"/>
  <c r="R171" i="1" s="1"/>
  <c r="S147" i="1"/>
  <c r="R147" i="1" s="1"/>
  <c r="S123" i="1"/>
  <c r="R123" i="1" s="1"/>
  <c r="S111" i="1"/>
  <c r="R111" i="1" s="1"/>
  <c r="S99" i="1"/>
  <c r="R99" i="1" s="1"/>
  <c r="S75" i="1"/>
  <c r="R75" i="1" s="1"/>
  <c r="S39" i="1"/>
  <c r="R39" i="1" s="1"/>
  <c r="S3" i="1"/>
  <c r="R3" i="1" s="1"/>
  <c r="S276" i="1"/>
  <c r="R276" i="1" s="1"/>
  <c r="S216" i="1"/>
  <c r="R216" i="1" s="1"/>
  <c r="S496" i="1"/>
  <c r="R496" i="1" s="1"/>
  <c r="S448" i="1"/>
  <c r="R448" i="1" s="1"/>
  <c r="S412" i="1"/>
  <c r="R412" i="1" s="1"/>
  <c r="S364" i="1"/>
  <c r="R364" i="1" s="1"/>
  <c r="S328" i="1"/>
  <c r="R328" i="1" s="1"/>
  <c r="S292" i="1"/>
  <c r="R292" i="1" s="1"/>
  <c r="S268" i="1"/>
  <c r="R268" i="1" s="1"/>
  <c r="S232" i="1"/>
  <c r="R232" i="1" s="1"/>
  <c r="S196" i="1"/>
  <c r="R196" i="1" s="1"/>
  <c r="S160" i="1"/>
  <c r="R160" i="1" s="1"/>
  <c r="S124" i="1"/>
  <c r="R124" i="1" s="1"/>
  <c r="S100" i="1"/>
  <c r="R100" i="1" s="1"/>
  <c r="S52" i="1"/>
  <c r="R52" i="1" s="1"/>
  <c r="S16" i="1"/>
  <c r="R16" i="1" s="1"/>
  <c r="S472" i="1"/>
  <c r="R472" i="1" s="1"/>
  <c r="S436" i="1"/>
  <c r="R436" i="1" s="1"/>
  <c r="S400" i="1"/>
  <c r="R400" i="1" s="1"/>
  <c r="S352" i="1"/>
  <c r="R352" i="1" s="1"/>
  <c r="S304" i="1"/>
  <c r="R304" i="1" s="1"/>
  <c r="S256" i="1"/>
  <c r="R256" i="1" s="1"/>
  <c r="S220" i="1"/>
  <c r="R220" i="1" s="1"/>
  <c r="S184" i="1"/>
  <c r="R184" i="1" s="1"/>
  <c r="S148" i="1"/>
  <c r="R148" i="1" s="1"/>
  <c r="S112" i="1"/>
  <c r="R112" i="1" s="1"/>
  <c r="S88" i="1"/>
  <c r="R88" i="1" s="1"/>
  <c r="S4" i="1"/>
  <c r="R4" i="1" s="1"/>
  <c r="S445" i="1"/>
  <c r="R445" i="1" s="1"/>
  <c r="S325" i="1"/>
  <c r="R325" i="1" s="1"/>
  <c r="S169" i="1"/>
  <c r="R169" i="1" s="1"/>
  <c r="S37" i="1"/>
  <c r="R37" i="1" s="1"/>
  <c r="S25" i="1"/>
  <c r="R25" i="1" s="1"/>
  <c r="P463" i="1"/>
  <c r="P415" i="1"/>
  <c r="P367" i="1"/>
  <c r="P319" i="1"/>
  <c r="P271" i="1"/>
  <c r="P223" i="1"/>
  <c r="P175" i="1"/>
  <c r="P139" i="1"/>
  <c r="P91" i="1"/>
  <c r="P31" i="1"/>
  <c r="P498" i="1"/>
  <c r="P438" i="1"/>
  <c r="P390" i="1"/>
  <c r="P342" i="1"/>
  <c r="P294" i="1"/>
  <c r="P246" i="1"/>
  <c r="P198" i="1"/>
  <c r="P150" i="1"/>
  <c r="P102" i="1"/>
  <c r="P42" i="1"/>
  <c r="P497" i="1"/>
  <c r="P449" i="1"/>
  <c r="P401" i="1"/>
  <c r="P353" i="1"/>
  <c r="P317" i="1"/>
  <c r="P269" i="1"/>
  <c r="P221" i="1"/>
  <c r="P173" i="1"/>
  <c r="P125" i="1"/>
  <c r="P77" i="1"/>
  <c r="P53" i="1"/>
  <c r="P5" i="1"/>
  <c r="S484" i="1"/>
  <c r="R484" i="1" s="1"/>
  <c r="S388" i="1"/>
  <c r="R388" i="1" s="1"/>
  <c r="P475" i="1"/>
  <c r="P427" i="1"/>
  <c r="P379" i="1"/>
  <c r="P331" i="1"/>
  <c r="P283" i="1"/>
  <c r="P235" i="1"/>
  <c r="P199" i="1"/>
  <c r="P151" i="1"/>
  <c r="P103" i="1"/>
  <c r="P67" i="1"/>
  <c r="P19" i="1"/>
  <c r="P474" i="1"/>
  <c r="P426" i="1"/>
  <c r="P378" i="1"/>
  <c r="P330" i="1"/>
  <c r="P282" i="1"/>
  <c r="P222" i="1"/>
  <c r="P174" i="1"/>
  <c r="P126" i="1"/>
  <c r="P78" i="1"/>
  <c r="P30" i="1"/>
  <c r="P461" i="1"/>
  <c r="P413" i="1"/>
  <c r="P365" i="1"/>
  <c r="P305" i="1"/>
  <c r="P257" i="1"/>
  <c r="P209" i="1"/>
  <c r="P161" i="1"/>
  <c r="P113" i="1"/>
  <c r="P65" i="1"/>
  <c r="P17" i="1"/>
  <c r="S423" i="1"/>
  <c r="R423" i="1" s="1"/>
  <c r="S219" i="1"/>
  <c r="R219" i="1" s="1"/>
  <c r="S27" i="1"/>
  <c r="R27" i="1" s="1"/>
  <c r="S492" i="1"/>
  <c r="R492" i="1" s="1"/>
  <c r="S480" i="1"/>
  <c r="R480" i="1" s="1"/>
  <c r="S468" i="1"/>
  <c r="R468" i="1" s="1"/>
  <c r="S456" i="1"/>
  <c r="R456" i="1" s="1"/>
  <c r="P487" i="1"/>
  <c r="P439" i="1"/>
  <c r="P391" i="1"/>
  <c r="P343" i="1"/>
  <c r="P295" i="1"/>
  <c r="P247" i="1"/>
  <c r="P187" i="1"/>
  <c r="P127" i="1"/>
  <c r="P55" i="1"/>
  <c r="P486" i="1"/>
  <c r="P450" i="1"/>
  <c r="P402" i="1"/>
  <c r="P354" i="1"/>
  <c r="P306" i="1"/>
  <c r="P258" i="1"/>
  <c r="P210" i="1"/>
  <c r="P162" i="1"/>
  <c r="P114" i="1"/>
  <c r="P66" i="1"/>
  <c r="P18" i="1"/>
  <c r="P473" i="1"/>
  <c r="P425" i="1"/>
  <c r="P377" i="1"/>
  <c r="P329" i="1"/>
  <c r="P281" i="1"/>
  <c r="P233" i="1"/>
  <c r="P185" i="1"/>
  <c r="P137" i="1"/>
  <c r="P89" i="1"/>
  <c r="P29" i="1"/>
  <c r="S303" i="1"/>
  <c r="R303" i="1" s="1"/>
  <c r="S267" i="1"/>
  <c r="R267" i="1" s="1"/>
  <c r="S195" i="1"/>
  <c r="R195" i="1" s="1"/>
  <c r="S159" i="1"/>
  <c r="R159" i="1" s="1"/>
  <c r="S87" i="1"/>
  <c r="R87" i="1" s="1"/>
  <c r="S446" i="1"/>
  <c r="R446" i="1" s="1"/>
  <c r="S422" i="1"/>
  <c r="R422" i="1" s="1"/>
  <c r="S410" i="1"/>
  <c r="R410" i="1" s="1"/>
  <c r="S374" i="1"/>
  <c r="R374" i="1" s="1"/>
  <c r="S338" i="1"/>
  <c r="R338" i="1" s="1"/>
  <c r="P499" i="1"/>
  <c r="P451" i="1"/>
  <c r="P403" i="1"/>
  <c r="P355" i="1"/>
  <c r="P307" i="1"/>
  <c r="P259" i="1"/>
  <c r="P211" i="1"/>
  <c r="P163" i="1"/>
  <c r="P115" i="1"/>
  <c r="P79" i="1"/>
  <c r="P43" i="1"/>
  <c r="P7" i="1"/>
  <c r="P462" i="1"/>
  <c r="P414" i="1"/>
  <c r="P366" i="1"/>
  <c r="P318" i="1"/>
  <c r="P270" i="1"/>
  <c r="P234" i="1"/>
  <c r="P186" i="1"/>
  <c r="P138" i="1"/>
  <c r="P90" i="1"/>
  <c r="P54" i="1"/>
  <c r="P6" i="1"/>
  <c r="S377" i="1"/>
  <c r="R377" i="1" s="1"/>
  <c r="S281" i="1"/>
  <c r="R281" i="1" s="1"/>
  <c r="P485" i="1"/>
  <c r="P437" i="1"/>
  <c r="P389" i="1"/>
  <c r="P341" i="1"/>
  <c r="P293" i="1"/>
  <c r="P245" i="1"/>
  <c r="P197" i="1"/>
  <c r="P149" i="1"/>
  <c r="P101" i="1"/>
  <c r="P41" i="1"/>
  <c r="S483" i="1"/>
  <c r="R483" i="1" s="1"/>
  <c r="S447" i="1"/>
  <c r="R447" i="1" s="1"/>
  <c r="S411" i="1"/>
  <c r="R411" i="1" s="1"/>
  <c r="S207" i="1"/>
  <c r="R207" i="1" s="1"/>
  <c r="S135" i="1"/>
  <c r="R135" i="1" s="1"/>
  <c r="S493" i="1"/>
  <c r="R493" i="1" s="1"/>
  <c r="S469" i="1"/>
  <c r="R469" i="1" s="1"/>
  <c r="S457" i="1"/>
  <c r="R457" i="1" s="1"/>
  <c r="S433" i="1"/>
  <c r="R433" i="1" s="1"/>
  <c r="S421" i="1"/>
  <c r="R421" i="1" s="1"/>
  <c r="S409" i="1"/>
  <c r="R409" i="1" s="1"/>
  <c r="S373" i="1"/>
  <c r="R373" i="1" s="1"/>
  <c r="S316" i="1"/>
  <c r="R316" i="1" s="1"/>
  <c r="S280" i="1"/>
  <c r="R280" i="1" s="1"/>
  <c r="S64" i="1"/>
  <c r="R64" i="1" s="1"/>
  <c r="S40" i="1"/>
  <c r="R40" i="1" s="1"/>
  <c r="S481" i="1"/>
  <c r="R481" i="1" s="1"/>
  <c r="S349" i="1"/>
  <c r="R349" i="1" s="1"/>
  <c r="S289" i="1"/>
  <c r="R289" i="1" s="1"/>
  <c r="S241" i="1"/>
  <c r="R241" i="1" s="1"/>
  <c r="S205" i="1"/>
  <c r="R205" i="1" s="1"/>
  <c r="S193" i="1"/>
  <c r="R193" i="1" s="1"/>
  <c r="S476" i="1"/>
  <c r="R476" i="1" s="1"/>
  <c r="S464" i="1"/>
  <c r="R464" i="1" s="1"/>
  <c r="S452" i="1"/>
  <c r="R452" i="1" s="1"/>
  <c r="S440" i="1"/>
  <c r="R440" i="1" s="1"/>
  <c r="S428" i="1"/>
  <c r="R428" i="1" s="1"/>
  <c r="S416" i="1"/>
  <c r="R416" i="1" s="1"/>
  <c r="S404" i="1"/>
  <c r="R404" i="1" s="1"/>
  <c r="S392" i="1"/>
  <c r="R392" i="1" s="1"/>
  <c r="S368" i="1"/>
  <c r="R368" i="1" s="1"/>
  <c r="S356" i="1"/>
  <c r="R356" i="1" s="1"/>
  <c r="S344" i="1"/>
  <c r="R344" i="1" s="1"/>
  <c r="S332" i="1"/>
  <c r="R332" i="1" s="1"/>
  <c r="S308" i="1"/>
  <c r="R308" i="1" s="1"/>
  <c r="S296" i="1"/>
  <c r="R296" i="1" s="1"/>
  <c r="S284" i="1"/>
  <c r="R284" i="1" s="1"/>
  <c r="S272" i="1"/>
  <c r="R272" i="1" s="1"/>
  <c r="S260" i="1"/>
  <c r="R260" i="1" s="1"/>
  <c r="S236" i="1"/>
  <c r="R236" i="1" s="1"/>
  <c r="S212" i="1"/>
  <c r="R212" i="1" s="1"/>
  <c r="S200" i="1"/>
  <c r="R200" i="1" s="1"/>
  <c r="S188" i="1"/>
  <c r="R188" i="1" s="1"/>
  <c r="S176" i="1"/>
  <c r="R176" i="1" s="1"/>
  <c r="S164" i="1"/>
  <c r="R164" i="1" s="1"/>
  <c r="S140" i="1"/>
  <c r="R140" i="1" s="1"/>
  <c r="S128" i="1"/>
  <c r="R128" i="1" s="1"/>
  <c r="S116" i="1"/>
  <c r="R116" i="1" s="1"/>
  <c r="S104" i="1"/>
  <c r="R104" i="1" s="1"/>
  <c r="S92" i="1"/>
  <c r="R92" i="1" s="1"/>
  <c r="S68" i="1"/>
  <c r="R68" i="1" s="1"/>
  <c r="S44" i="1"/>
  <c r="R44" i="1" s="1"/>
  <c r="S32" i="1"/>
  <c r="R32" i="1" s="1"/>
  <c r="S20" i="1"/>
  <c r="R20" i="1" s="1"/>
  <c r="S8" i="1"/>
  <c r="R8" i="1" s="1"/>
  <c r="S360" i="1"/>
  <c r="R360" i="1" s="1"/>
  <c r="S252" i="1"/>
  <c r="R252" i="1" s="1"/>
  <c r="S204" i="1"/>
  <c r="R204" i="1" s="1"/>
  <c r="S156" i="1"/>
  <c r="R156" i="1" s="1"/>
  <c r="S144" i="1"/>
  <c r="R144" i="1" s="1"/>
  <c r="S48" i="1"/>
  <c r="R48" i="1" s="1"/>
  <c r="S326" i="1"/>
  <c r="R326" i="1" s="1"/>
  <c r="S314" i="1"/>
  <c r="R314" i="1" s="1"/>
  <c r="S302" i="1"/>
  <c r="R302" i="1" s="1"/>
  <c r="S290" i="1"/>
  <c r="R290" i="1" s="1"/>
  <c r="S278" i="1"/>
  <c r="R278" i="1" s="1"/>
  <c r="S254" i="1"/>
  <c r="R254" i="1" s="1"/>
  <c r="S242" i="1"/>
  <c r="R242" i="1" s="1"/>
  <c r="S230" i="1"/>
  <c r="R230" i="1" s="1"/>
  <c r="S218" i="1"/>
  <c r="R218" i="1" s="1"/>
  <c r="S182" i="1"/>
  <c r="R182" i="1" s="1"/>
  <c r="S170" i="1"/>
  <c r="R170" i="1" s="1"/>
  <c r="S158" i="1"/>
  <c r="R158" i="1" s="1"/>
  <c r="S146" i="1"/>
  <c r="R146" i="1" s="1"/>
  <c r="S122" i="1"/>
  <c r="R122" i="1" s="1"/>
  <c r="S110" i="1"/>
  <c r="R110" i="1" s="1"/>
  <c r="S98" i="1"/>
  <c r="R98" i="1" s="1"/>
  <c r="S74" i="1"/>
  <c r="R74" i="1" s="1"/>
  <c r="S62" i="1"/>
  <c r="R62" i="1" s="1"/>
  <c r="S50" i="1"/>
  <c r="R50" i="1" s="1"/>
  <c r="S38" i="1"/>
  <c r="R38" i="1" s="1"/>
  <c r="S26" i="1"/>
  <c r="R26" i="1" s="1"/>
  <c r="S14" i="1"/>
  <c r="R14" i="1" s="1"/>
  <c r="S313" i="1"/>
  <c r="R313" i="1" s="1"/>
  <c r="S301" i="1"/>
  <c r="R301" i="1" s="1"/>
  <c r="S277" i="1"/>
  <c r="R277" i="1" s="1"/>
  <c r="S265" i="1"/>
  <c r="R265" i="1" s="1"/>
  <c r="S253" i="1"/>
  <c r="R253" i="1" s="1"/>
  <c r="S229" i="1"/>
  <c r="R229" i="1" s="1"/>
  <c r="S217" i="1"/>
  <c r="R217" i="1" s="1"/>
  <c r="S181" i="1"/>
  <c r="R181" i="1" s="1"/>
  <c r="S157" i="1"/>
  <c r="R157" i="1" s="1"/>
  <c r="S145" i="1"/>
  <c r="R145" i="1" s="1"/>
  <c r="S133" i="1"/>
  <c r="R133" i="1" s="1"/>
  <c r="S121" i="1"/>
  <c r="R121" i="1" s="1"/>
  <c r="S109" i="1"/>
  <c r="R109" i="1" s="1"/>
  <c r="S97" i="1"/>
  <c r="R97" i="1" s="1"/>
  <c r="S85" i="1"/>
  <c r="R85" i="1" s="1"/>
  <c r="S73" i="1"/>
  <c r="R73" i="1" s="1"/>
  <c r="S49" i="1"/>
  <c r="R49" i="1" s="1"/>
  <c r="S336" i="1"/>
  <c r="R336" i="1" s="1"/>
  <c r="S324" i="1"/>
  <c r="R324" i="1" s="1"/>
  <c r="S300" i="1"/>
  <c r="R300" i="1" s="1"/>
  <c r="S240" i="1"/>
  <c r="R240" i="1" s="1"/>
  <c r="S228" i="1"/>
  <c r="R228" i="1" s="1"/>
  <c r="S180" i="1"/>
  <c r="R180" i="1" s="1"/>
  <c r="S168" i="1"/>
  <c r="R168" i="1" s="1"/>
  <c r="S108" i="1"/>
  <c r="R108" i="1" s="1"/>
  <c r="S96" i="1"/>
  <c r="R96" i="1" s="1"/>
  <c r="S84" i="1"/>
  <c r="R84" i="1" s="1"/>
  <c r="S72" i="1"/>
  <c r="R72" i="1" s="1"/>
  <c r="S36" i="1"/>
  <c r="R36" i="1" s="1"/>
  <c r="S24" i="1"/>
  <c r="R24" i="1" s="1"/>
  <c r="S12" i="1"/>
  <c r="R12" i="1" s="1"/>
  <c r="S335" i="1"/>
  <c r="R335" i="1" s="1"/>
  <c r="S275" i="1"/>
  <c r="R275" i="1" s="1"/>
  <c r="S263" i="1"/>
  <c r="R263" i="1" s="1"/>
  <c r="S191" i="1"/>
  <c r="R191" i="1" s="1"/>
  <c r="S155" i="1"/>
  <c r="R155" i="1" s="1"/>
  <c r="S143" i="1"/>
  <c r="R143" i="1" s="1"/>
  <c r="S131" i="1"/>
  <c r="R131" i="1" s="1"/>
  <c r="S107" i="1"/>
  <c r="R107" i="1" s="1"/>
  <c r="S95" i="1"/>
  <c r="R95" i="1" s="1"/>
  <c r="S71" i="1"/>
  <c r="R71" i="1" s="1"/>
  <c r="S47" i="1"/>
  <c r="R47" i="1" s="1"/>
  <c r="S35" i="1"/>
  <c r="R35" i="1" s="1"/>
  <c r="S442" i="1"/>
  <c r="R442" i="1" s="1"/>
  <c r="S418" i="1"/>
  <c r="R418" i="1" s="1"/>
  <c r="S394" i="1"/>
  <c r="R394" i="1" s="1"/>
  <c r="S190" i="1"/>
  <c r="R190" i="1" s="1"/>
  <c r="S70" i="1"/>
  <c r="R70" i="1" s="1"/>
  <c r="S58" i="1"/>
  <c r="R58" i="1" s="1"/>
  <c r="S34" i="1"/>
  <c r="R34" i="1" s="1"/>
  <c r="S22" i="1"/>
  <c r="R22" i="1" s="1"/>
  <c r="S501" i="1"/>
  <c r="R501" i="1" s="1"/>
  <c r="S444" i="1"/>
  <c r="R444" i="1" s="1"/>
  <c r="S288" i="1"/>
  <c r="R288" i="1" s="1"/>
  <c r="S264" i="1"/>
  <c r="R264" i="1" s="1"/>
  <c r="S192" i="1"/>
  <c r="R192" i="1" s="1"/>
  <c r="S132" i="1"/>
  <c r="R132" i="1" s="1"/>
  <c r="S60" i="1"/>
  <c r="R60" i="1" s="1"/>
  <c r="S361" i="1"/>
  <c r="R361" i="1" s="1"/>
  <c r="S152" i="1"/>
  <c r="R152" i="1" s="1"/>
  <c r="S385" i="1"/>
  <c r="R385" i="1" s="1"/>
  <c r="S13" i="1"/>
  <c r="R13" i="1" s="1"/>
  <c r="S395" i="1"/>
  <c r="R395" i="1" s="1"/>
  <c r="S179" i="1"/>
  <c r="R179" i="1" s="1"/>
  <c r="S251" i="1"/>
  <c r="R251" i="1" s="1"/>
  <c r="S500" i="1"/>
  <c r="R500" i="1" s="1"/>
  <c r="S337" i="1"/>
  <c r="R337" i="1" s="1"/>
  <c r="S61" i="1"/>
  <c r="R61" i="1" s="1"/>
  <c r="S498" i="1"/>
  <c r="R498" i="1" s="1"/>
  <c r="S486" i="1"/>
  <c r="R486" i="1" s="1"/>
  <c r="S474" i="1"/>
  <c r="R474" i="1" s="1"/>
  <c r="S462" i="1"/>
  <c r="R462" i="1" s="1"/>
  <c r="S450" i="1"/>
  <c r="R450" i="1" s="1"/>
  <c r="S438" i="1"/>
  <c r="R438" i="1" s="1"/>
  <c r="S426" i="1"/>
  <c r="R426" i="1" s="1"/>
  <c r="S414" i="1"/>
  <c r="R414" i="1" s="1"/>
  <c r="S402" i="1"/>
  <c r="R402" i="1" s="1"/>
  <c r="S390" i="1"/>
  <c r="R390" i="1" s="1"/>
  <c r="S378" i="1"/>
  <c r="R378" i="1" s="1"/>
  <c r="S366" i="1"/>
  <c r="R366" i="1" s="1"/>
  <c r="S354" i="1"/>
  <c r="R354" i="1" s="1"/>
  <c r="S342" i="1"/>
  <c r="R342" i="1" s="1"/>
  <c r="S330" i="1"/>
  <c r="R330" i="1" s="1"/>
  <c r="S318" i="1"/>
  <c r="R318" i="1" s="1"/>
  <c r="S306" i="1"/>
  <c r="R306" i="1" s="1"/>
  <c r="S294" i="1"/>
  <c r="R294" i="1" s="1"/>
  <c r="S282" i="1"/>
  <c r="R282" i="1" s="1"/>
  <c r="S270" i="1"/>
  <c r="R270" i="1" s="1"/>
  <c r="S258" i="1"/>
  <c r="R258" i="1" s="1"/>
  <c r="S246" i="1"/>
  <c r="R246" i="1" s="1"/>
  <c r="S234" i="1"/>
  <c r="R234" i="1" s="1"/>
  <c r="S222" i="1"/>
  <c r="R222" i="1" s="1"/>
  <c r="S210" i="1"/>
  <c r="R210" i="1" s="1"/>
  <c r="S198" i="1"/>
  <c r="R198" i="1" s="1"/>
  <c r="S186" i="1"/>
  <c r="R186" i="1" s="1"/>
  <c r="S174" i="1"/>
  <c r="R174" i="1" s="1"/>
  <c r="S162" i="1"/>
  <c r="R162" i="1" s="1"/>
  <c r="S150" i="1"/>
  <c r="R150" i="1" s="1"/>
  <c r="S138" i="1"/>
  <c r="R138" i="1" s="1"/>
  <c r="S126" i="1"/>
  <c r="R126" i="1" s="1"/>
  <c r="S114" i="1"/>
  <c r="R114" i="1" s="1"/>
  <c r="S102" i="1"/>
  <c r="R102" i="1" s="1"/>
  <c r="S90" i="1"/>
  <c r="R90" i="1" s="1"/>
  <c r="S78" i="1"/>
  <c r="R78" i="1" s="1"/>
  <c r="S66" i="1"/>
  <c r="R66" i="1" s="1"/>
  <c r="S54" i="1"/>
  <c r="R54" i="1" s="1"/>
  <c r="S42" i="1"/>
  <c r="R42" i="1" s="1"/>
  <c r="S30" i="1"/>
  <c r="R30" i="1" s="1"/>
  <c r="S18" i="1"/>
  <c r="R18" i="1" s="1"/>
  <c r="S6" i="1"/>
  <c r="R6" i="1" s="1"/>
  <c r="S454" i="1"/>
  <c r="R454" i="1" s="1"/>
  <c r="S370" i="1"/>
  <c r="R370" i="1" s="1"/>
  <c r="S346" i="1"/>
  <c r="R346" i="1" s="1"/>
  <c r="S322" i="1"/>
  <c r="R322" i="1" s="1"/>
  <c r="S274" i="1"/>
  <c r="R274" i="1" s="1"/>
  <c r="S202" i="1"/>
  <c r="R202" i="1" s="1"/>
  <c r="S154" i="1"/>
  <c r="R154" i="1" s="1"/>
  <c r="S397" i="1"/>
  <c r="R397" i="1" s="1"/>
  <c r="S11" i="1"/>
  <c r="R11" i="1" s="1"/>
  <c r="S320" i="1"/>
  <c r="R320" i="1" s="1"/>
  <c r="S497" i="1"/>
  <c r="R497" i="1" s="1"/>
  <c r="S485" i="1"/>
  <c r="R485" i="1" s="1"/>
  <c r="S473" i="1"/>
  <c r="R473" i="1" s="1"/>
  <c r="S461" i="1"/>
  <c r="R461" i="1" s="1"/>
  <c r="S449" i="1"/>
  <c r="R449" i="1" s="1"/>
  <c r="S437" i="1"/>
  <c r="R437" i="1" s="1"/>
  <c r="S425" i="1"/>
  <c r="R425" i="1" s="1"/>
  <c r="S413" i="1"/>
  <c r="R413" i="1" s="1"/>
  <c r="S389" i="1"/>
  <c r="R389" i="1" s="1"/>
  <c r="S365" i="1"/>
  <c r="R365" i="1" s="1"/>
  <c r="S353" i="1"/>
  <c r="R353" i="1" s="1"/>
  <c r="S341" i="1"/>
  <c r="R341" i="1" s="1"/>
  <c r="S317" i="1"/>
  <c r="R317" i="1" s="1"/>
  <c r="S305" i="1"/>
  <c r="R305" i="1" s="1"/>
  <c r="S269" i="1"/>
  <c r="R269" i="1" s="1"/>
  <c r="S257" i="1"/>
  <c r="R257" i="1" s="1"/>
  <c r="S245" i="1"/>
  <c r="R245" i="1" s="1"/>
  <c r="S233" i="1"/>
  <c r="R233" i="1" s="1"/>
  <c r="S221" i="1"/>
  <c r="R221" i="1" s="1"/>
  <c r="S209" i="1"/>
  <c r="R209" i="1" s="1"/>
  <c r="S197" i="1"/>
  <c r="R197" i="1" s="1"/>
  <c r="S185" i="1"/>
  <c r="R185" i="1" s="1"/>
  <c r="S173" i="1"/>
  <c r="R173" i="1" s="1"/>
  <c r="S149" i="1"/>
  <c r="R149" i="1" s="1"/>
  <c r="S137" i="1"/>
  <c r="R137" i="1" s="1"/>
  <c r="S125" i="1"/>
  <c r="R125" i="1" s="1"/>
  <c r="S113" i="1"/>
  <c r="R113" i="1" s="1"/>
  <c r="S101" i="1"/>
  <c r="R101" i="1" s="1"/>
  <c r="S77" i="1"/>
  <c r="R77" i="1" s="1"/>
  <c r="S53" i="1"/>
  <c r="R53" i="1" s="1"/>
  <c r="S29" i="1"/>
  <c r="R29" i="1" s="1"/>
  <c r="S17" i="1"/>
  <c r="R17" i="1" s="1"/>
  <c r="S5" i="1"/>
  <c r="R5" i="1" s="1"/>
  <c r="S57" i="1"/>
  <c r="R57" i="1" s="1"/>
  <c r="S33" i="1"/>
  <c r="R33" i="1" s="1"/>
  <c r="S363" i="1"/>
  <c r="R363" i="1" s="1"/>
  <c r="S63" i="1"/>
  <c r="R63" i="1" s="1"/>
  <c r="S51" i="1"/>
  <c r="R51" i="1" s="1"/>
  <c r="S15" i="1"/>
  <c r="R15" i="1" s="1"/>
  <c r="S494" i="1"/>
  <c r="R494" i="1" s="1"/>
  <c r="S482" i="1"/>
  <c r="R482" i="1" s="1"/>
  <c r="S470" i="1"/>
  <c r="R470" i="1" s="1"/>
  <c r="S458" i="1"/>
  <c r="R458" i="1" s="1"/>
  <c r="S434" i="1"/>
  <c r="R434" i="1" s="1"/>
  <c r="S398" i="1"/>
  <c r="R398" i="1" s="1"/>
  <c r="S386" i="1"/>
  <c r="R386" i="1" s="1"/>
  <c r="S362" i="1"/>
  <c r="R362" i="1" s="1"/>
  <c r="S350" i="1"/>
  <c r="R350" i="1" s="1"/>
  <c r="S266" i="1"/>
  <c r="R266" i="1" s="1"/>
  <c r="S206" i="1"/>
  <c r="R206" i="1" s="1"/>
  <c r="S194" i="1"/>
  <c r="R194" i="1" s="1"/>
  <c r="S134" i="1"/>
  <c r="R134" i="1" s="1"/>
  <c r="S86" i="1"/>
  <c r="R86" i="1" s="1"/>
  <c r="S467" i="1"/>
  <c r="R467" i="1" s="1"/>
  <c r="S431" i="1"/>
  <c r="R431" i="1" s="1"/>
  <c r="S383" i="1"/>
  <c r="R383" i="1" s="1"/>
  <c r="S359" i="1"/>
  <c r="R359" i="1" s="1"/>
  <c r="S311" i="1"/>
  <c r="R311" i="1" s="1"/>
  <c r="S299" i="1"/>
  <c r="R299" i="1" s="1"/>
  <c r="S239" i="1"/>
  <c r="R239" i="1" s="1"/>
  <c r="S227" i="1"/>
  <c r="R227" i="1" s="1"/>
  <c r="S215" i="1"/>
  <c r="R215" i="1" s="1"/>
  <c r="S203" i="1"/>
  <c r="R203" i="1" s="1"/>
  <c r="S167" i="1"/>
  <c r="R167" i="1" s="1"/>
  <c r="S119" i="1"/>
  <c r="R119" i="1" s="1"/>
  <c r="S83" i="1"/>
  <c r="R83" i="1" s="1"/>
  <c r="S59" i="1"/>
  <c r="R59" i="1" s="1"/>
  <c r="S387" i="1"/>
  <c r="R387" i="1" s="1"/>
  <c r="S291" i="1"/>
  <c r="R291" i="1" s="1"/>
  <c r="S262" i="1"/>
  <c r="R262" i="1" s="1"/>
  <c r="S118" i="1"/>
  <c r="R118" i="1" s="1"/>
  <c r="S488" i="1"/>
  <c r="R488" i="1" s="1"/>
  <c r="S56" i="1"/>
  <c r="R56" i="1" s="1"/>
  <c r="S310" i="1"/>
  <c r="R310" i="1" s="1"/>
  <c r="S226" i="1"/>
  <c r="R226" i="1" s="1"/>
  <c r="S94" i="1"/>
  <c r="R94" i="1" s="1"/>
  <c r="S21" i="1"/>
  <c r="R21" i="1" s="1"/>
  <c r="S224" i="1"/>
  <c r="R224" i="1" s="1"/>
  <c r="S81" i="1"/>
  <c r="R81" i="1" s="1"/>
  <c r="S69" i="1"/>
  <c r="R69" i="1" s="1"/>
  <c r="S380" i="1"/>
  <c r="R380" i="1" s="1"/>
  <c r="S142" i="1"/>
  <c r="R142" i="1" s="1"/>
  <c r="S2" i="1"/>
  <c r="R2" i="1" s="1"/>
  <c r="S489" i="1"/>
  <c r="R489" i="1" s="1"/>
  <c r="S477" i="1"/>
  <c r="R477" i="1" s="1"/>
  <c r="S465" i="1"/>
  <c r="R465" i="1" s="1"/>
  <c r="S453" i="1"/>
  <c r="R453" i="1" s="1"/>
  <c r="S441" i="1"/>
  <c r="R441" i="1" s="1"/>
  <c r="S429" i="1"/>
  <c r="R429" i="1" s="1"/>
  <c r="S417" i="1"/>
  <c r="R417" i="1" s="1"/>
  <c r="S405" i="1"/>
  <c r="R405" i="1" s="1"/>
  <c r="S393" i="1"/>
  <c r="R393" i="1" s="1"/>
  <c r="S381" i="1"/>
  <c r="R381" i="1" s="1"/>
  <c r="S357" i="1"/>
  <c r="R357" i="1" s="1"/>
  <c r="S345" i="1"/>
  <c r="R345" i="1" s="1"/>
  <c r="S333" i="1"/>
  <c r="R333" i="1" s="1"/>
  <c r="S321" i="1"/>
  <c r="R321" i="1" s="1"/>
  <c r="S309" i="1"/>
  <c r="R309" i="1" s="1"/>
  <c r="S297" i="1"/>
  <c r="R297" i="1" s="1"/>
  <c r="S285" i="1"/>
  <c r="R285" i="1" s="1"/>
  <c r="S273" i="1"/>
  <c r="R273" i="1" s="1"/>
  <c r="S261" i="1"/>
  <c r="R261" i="1" s="1"/>
  <c r="S249" i="1"/>
  <c r="R249" i="1" s="1"/>
  <c r="S237" i="1"/>
  <c r="R237" i="1" s="1"/>
  <c r="S225" i="1"/>
  <c r="R225" i="1" s="1"/>
  <c r="S213" i="1"/>
  <c r="R213" i="1" s="1"/>
  <c r="S201" i="1"/>
  <c r="R201" i="1" s="1"/>
  <c r="S189" i="1"/>
  <c r="R189" i="1" s="1"/>
  <c r="S177" i="1"/>
  <c r="R177" i="1" s="1"/>
  <c r="S165" i="1"/>
  <c r="R165" i="1" s="1"/>
  <c r="S153" i="1"/>
  <c r="R153" i="1" s="1"/>
  <c r="S141" i="1"/>
  <c r="R141" i="1" s="1"/>
  <c r="S129" i="1"/>
  <c r="R129" i="1" s="1"/>
  <c r="S117" i="1"/>
  <c r="R117" i="1" s="1"/>
  <c r="S105" i="1"/>
  <c r="R105" i="1" s="1"/>
  <c r="S93" i="1"/>
  <c r="R93" i="1" s="1"/>
  <c r="S495" i="1"/>
  <c r="R495" i="1" s="1"/>
  <c r="S478" i="1"/>
  <c r="R478" i="1" s="1"/>
  <c r="S248" i="1"/>
  <c r="R248" i="1" s="1"/>
  <c r="S80" i="1"/>
  <c r="R80" i="1" s="1"/>
  <c r="S369" i="1"/>
  <c r="R369" i="1" s="1"/>
  <c r="S499" i="1"/>
  <c r="R499" i="1" s="1"/>
  <c r="S487" i="1"/>
  <c r="R487" i="1" s="1"/>
  <c r="S475" i="1"/>
  <c r="R475" i="1" s="1"/>
  <c r="S463" i="1"/>
  <c r="R463" i="1" s="1"/>
  <c r="S451" i="1"/>
  <c r="R451" i="1" s="1"/>
  <c r="S439" i="1"/>
  <c r="R439" i="1" s="1"/>
  <c r="S427" i="1"/>
  <c r="R427" i="1" s="1"/>
  <c r="S415" i="1"/>
  <c r="R415" i="1" s="1"/>
  <c r="S403" i="1"/>
  <c r="R403" i="1" s="1"/>
  <c r="S391" i="1"/>
  <c r="R391" i="1" s="1"/>
  <c r="S379" i="1"/>
  <c r="R379" i="1" s="1"/>
  <c r="S367" i="1"/>
  <c r="R367" i="1" s="1"/>
  <c r="S355" i="1"/>
  <c r="R355" i="1" s="1"/>
  <c r="S343" i="1"/>
  <c r="R343" i="1" s="1"/>
  <c r="S331" i="1"/>
  <c r="R331" i="1" s="1"/>
  <c r="S319" i="1"/>
  <c r="R319" i="1" s="1"/>
  <c r="S307" i="1"/>
  <c r="R307" i="1" s="1"/>
  <c r="S295" i="1"/>
  <c r="R295" i="1" s="1"/>
  <c r="S283" i="1"/>
  <c r="R283" i="1" s="1"/>
  <c r="S271" i="1"/>
  <c r="R271" i="1" s="1"/>
  <c r="S259" i="1"/>
  <c r="R259" i="1" s="1"/>
  <c r="S247" i="1"/>
  <c r="R247" i="1" s="1"/>
  <c r="S235" i="1"/>
  <c r="R235" i="1" s="1"/>
  <c r="S223" i="1"/>
  <c r="R223" i="1" s="1"/>
  <c r="S211" i="1"/>
  <c r="R211" i="1" s="1"/>
  <c r="S199" i="1"/>
  <c r="R199" i="1" s="1"/>
  <c r="S187" i="1"/>
  <c r="R187" i="1" s="1"/>
  <c r="S175" i="1"/>
  <c r="R175" i="1" s="1"/>
  <c r="S163" i="1"/>
  <c r="R163" i="1" s="1"/>
  <c r="S151" i="1"/>
  <c r="R151" i="1" s="1"/>
  <c r="S139" i="1"/>
  <c r="R139" i="1" s="1"/>
  <c r="S127" i="1"/>
  <c r="R127" i="1" s="1"/>
  <c r="S115" i="1"/>
  <c r="R115" i="1" s="1"/>
  <c r="S103" i="1"/>
  <c r="R103" i="1" s="1"/>
  <c r="S91" i="1"/>
  <c r="R91" i="1" s="1"/>
  <c r="S79" i="1"/>
  <c r="R79" i="1" s="1"/>
  <c r="S67" i="1"/>
  <c r="R67" i="1" s="1"/>
  <c r="S55" i="1"/>
  <c r="R55" i="1" s="1"/>
  <c r="S43" i="1"/>
  <c r="R43" i="1" s="1"/>
  <c r="S31" i="1"/>
  <c r="R31" i="1" s="1"/>
  <c r="S19" i="1"/>
  <c r="R19" i="1" s="1"/>
  <c r="S7" i="1"/>
  <c r="R7" i="1" s="1"/>
  <c r="Q501" i="1"/>
  <c r="T501" i="1" s="1"/>
  <c r="Q2" i="1"/>
  <c r="T2" i="1" s="1"/>
  <c r="Q492" i="1"/>
  <c r="T492" i="1" s="1"/>
  <c r="Q480" i="1"/>
  <c r="T480" i="1" s="1"/>
  <c r="Q468" i="1"/>
  <c r="T468" i="1" s="1"/>
  <c r="Q456" i="1"/>
  <c r="T456" i="1" s="1"/>
  <c r="Q444" i="1"/>
  <c r="T444" i="1" s="1"/>
  <c r="Q432" i="1"/>
  <c r="T432" i="1" s="1"/>
  <c r="Q420" i="1"/>
  <c r="T420" i="1" s="1"/>
  <c r="Q408" i="1"/>
  <c r="T408" i="1" s="1"/>
  <c r="Q396" i="1"/>
  <c r="T396" i="1" s="1"/>
  <c r="Q384" i="1"/>
  <c r="T384" i="1" s="1"/>
  <c r="Q372" i="1"/>
  <c r="T372" i="1" s="1"/>
  <c r="Q360" i="1"/>
  <c r="T360" i="1" s="1"/>
  <c r="Q348" i="1"/>
  <c r="T348" i="1" s="1"/>
  <c r="Q336" i="1"/>
  <c r="T336" i="1" s="1"/>
  <c r="Q324" i="1"/>
  <c r="T324" i="1" s="1"/>
  <c r="Q312" i="1"/>
  <c r="T312" i="1" s="1"/>
  <c r="Q300" i="1"/>
  <c r="T300" i="1" s="1"/>
  <c r="Q288" i="1"/>
  <c r="T288" i="1" s="1"/>
  <c r="Q276" i="1"/>
  <c r="T276" i="1" s="1"/>
  <c r="Q264" i="1"/>
  <c r="T264" i="1" s="1"/>
  <c r="Q252" i="1"/>
  <c r="T252" i="1" s="1"/>
  <c r="Q493" i="1"/>
  <c r="T493" i="1" s="1"/>
  <c r="Q481" i="1"/>
  <c r="T481" i="1" s="1"/>
  <c r="Q469" i="1"/>
  <c r="T469" i="1" s="1"/>
  <c r="Q457" i="1"/>
  <c r="T457" i="1" s="1"/>
  <c r="Q445" i="1"/>
  <c r="T445" i="1" s="1"/>
  <c r="Q433" i="1"/>
  <c r="T433" i="1" s="1"/>
  <c r="Q421" i="1"/>
  <c r="T421" i="1" s="1"/>
  <c r="Q409" i="1"/>
  <c r="T409" i="1" s="1"/>
  <c r="Q397" i="1"/>
  <c r="T397" i="1" s="1"/>
  <c r="Q385" i="1"/>
  <c r="T385" i="1" s="1"/>
  <c r="Q373" i="1"/>
  <c r="T373" i="1" s="1"/>
  <c r="Q361" i="1"/>
  <c r="T361" i="1" s="1"/>
  <c r="Q349" i="1"/>
  <c r="T349" i="1" s="1"/>
  <c r="Q337" i="1"/>
  <c r="T337" i="1" s="1"/>
  <c r="Q325" i="1"/>
  <c r="T325" i="1" s="1"/>
  <c r="Q313" i="1"/>
  <c r="T313" i="1" s="1"/>
  <c r="Q301" i="1"/>
  <c r="T301" i="1" s="1"/>
  <c r="Q289" i="1"/>
  <c r="T289" i="1" s="1"/>
  <c r="Q277" i="1"/>
  <c r="T277" i="1" s="1"/>
  <c r="Q265" i="1"/>
  <c r="T265" i="1" s="1"/>
  <c r="Q253" i="1"/>
  <c r="T253" i="1" s="1"/>
  <c r="Q241" i="1"/>
  <c r="T241" i="1" s="1"/>
  <c r="Q229" i="1"/>
  <c r="T229" i="1" s="1"/>
  <c r="Q217" i="1"/>
  <c r="T217" i="1" s="1"/>
  <c r="Q205" i="1"/>
  <c r="T205" i="1" s="1"/>
  <c r="Q193" i="1"/>
  <c r="T193" i="1" s="1"/>
  <c r="Q181" i="1"/>
  <c r="T181" i="1" s="1"/>
  <c r="Q169" i="1"/>
  <c r="T169" i="1" s="1"/>
  <c r="Q157" i="1"/>
  <c r="T157" i="1" s="1"/>
  <c r="Q145" i="1"/>
  <c r="T145" i="1" s="1"/>
  <c r="Q133" i="1"/>
  <c r="T133" i="1" s="1"/>
  <c r="Q121" i="1"/>
  <c r="T121" i="1" s="1"/>
  <c r="Q109" i="1"/>
  <c r="T109" i="1" s="1"/>
  <c r="Q97" i="1"/>
  <c r="T97" i="1" s="1"/>
  <c r="Q85" i="1"/>
  <c r="T85" i="1" s="1"/>
  <c r="Q73" i="1"/>
  <c r="T73" i="1" s="1"/>
  <c r="Q61" i="1"/>
  <c r="T61" i="1" s="1"/>
  <c r="Q49" i="1"/>
  <c r="T49" i="1" s="1"/>
  <c r="Q37" i="1"/>
  <c r="T37" i="1" s="1"/>
  <c r="Q25" i="1"/>
  <c r="T25" i="1" s="1"/>
  <c r="Q13" i="1"/>
  <c r="T13" i="1" s="1"/>
  <c r="P409" i="1"/>
  <c r="P265" i="1"/>
  <c r="P121" i="1"/>
  <c r="P433" i="1"/>
  <c r="P289" i="1"/>
  <c r="P145" i="1"/>
  <c r="P421" i="1"/>
  <c r="P277" i="1"/>
  <c r="P133" i="1"/>
  <c r="P397" i="1"/>
  <c r="P253" i="1"/>
  <c r="P109" i="1"/>
  <c r="P385" i="1"/>
  <c r="P241" i="1"/>
  <c r="P97" i="1"/>
  <c r="P373" i="1"/>
  <c r="P229" i="1"/>
  <c r="P85" i="1"/>
  <c r="P361" i="1"/>
  <c r="P217" i="1"/>
  <c r="P73" i="1"/>
  <c r="P493" i="1"/>
  <c r="P349" i="1"/>
  <c r="P205" i="1"/>
  <c r="P61" i="1"/>
  <c r="P481" i="1"/>
  <c r="P337" i="1"/>
  <c r="P193" i="1"/>
  <c r="P49" i="1"/>
  <c r="P469" i="1"/>
  <c r="P325" i="1"/>
  <c r="P181" i="1"/>
  <c r="P37" i="1"/>
  <c r="P457" i="1"/>
  <c r="P313" i="1"/>
  <c r="P169" i="1"/>
  <c r="P25" i="1"/>
  <c r="P445" i="1"/>
  <c r="P301" i="1"/>
  <c r="P157" i="1"/>
  <c r="P13" i="1"/>
  <c r="Q240" i="1"/>
  <c r="T240" i="1" s="1"/>
  <c r="Q228" i="1"/>
  <c r="T228" i="1" s="1"/>
  <c r="Q216" i="1"/>
  <c r="T216" i="1" s="1"/>
  <c r="Q204" i="1"/>
  <c r="T204" i="1" s="1"/>
  <c r="Q192" i="1"/>
  <c r="T192" i="1" s="1"/>
  <c r="Q180" i="1"/>
  <c r="T180" i="1" s="1"/>
  <c r="Q168" i="1"/>
  <c r="T168" i="1" s="1"/>
  <c r="Q156" i="1"/>
  <c r="T156" i="1" s="1"/>
  <c r="Q144" i="1"/>
  <c r="T144" i="1" s="1"/>
  <c r="Q132" i="1"/>
  <c r="T132" i="1" s="1"/>
  <c r="Q120" i="1"/>
  <c r="T120" i="1" s="1"/>
  <c r="Q108" i="1"/>
  <c r="T108" i="1" s="1"/>
  <c r="Q96" i="1"/>
  <c r="T96" i="1" s="1"/>
  <c r="Q84" i="1"/>
  <c r="T84" i="1" s="1"/>
  <c r="Q72" i="1"/>
  <c r="T72" i="1" s="1"/>
  <c r="Q60" i="1"/>
  <c r="T60" i="1" s="1"/>
  <c r="Q48" i="1"/>
  <c r="T48" i="1" s="1"/>
  <c r="Q36" i="1"/>
  <c r="T36" i="1" s="1"/>
  <c r="Q24" i="1"/>
  <c r="T24" i="1" s="1"/>
  <c r="Q12" i="1"/>
  <c r="T12" i="1" s="1"/>
  <c r="Q499" i="1"/>
  <c r="T499" i="1" s="1"/>
  <c r="Q487" i="1"/>
  <c r="T487" i="1" s="1"/>
  <c r="Q475" i="1"/>
  <c r="T475" i="1" s="1"/>
  <c r="Q463" i="1"/>
  <c r="T463" i="1" s="1"/>
  <c r="Q451" i="1"/>
  <c r="T451" i="1" s="1"/>
  <c r="Q439" i="1"/>
  <c r="T439" i="1" s="1"/>
  <c r="Q427" i="1"/>
  <c r="T427" i="1" s="1"/>
  <c r="Q415" i="1"/>
  <c r="T415" i="1" s="1"/>
  <c r="Q403" i="1"/>
  <c r="T403" i="1" s="1"/>
  <c r="Q391" i="1"/>
  <c r="T391" i="1" s="1"/>
  <c r="Q495" i="1"/>
  <c r="T495" i="1" s="1"/>
  <c r="Q483" i="1"/>
  <c r="T483" i="1" s="1"/>
  <c r="Q471" i="1"/>
  <c r="T471" i="1" s="1"/>
  <c r="Q459" i="1"/>
  <c r="T459" i="1" s="1"/>
  <c r="Q447" i="1"/>
  <c r="T447" i="1" s="1"/>
  <c r="Q435" i="1"/>
  <c r="T435" i="1" s="1"/>
  <c r="Q423" i="1"/>
  <c r="T423" i="1" s="1"/>
  <c r="Q411" i="1"/>
  <c r="T411" i="1" s="1"/>
  <c r="Q399" i="1"/>
  <c r="T399" i="1" s="1"/>
  <c r="Q387" i="1"/>
  <c r="T387" i="1" s="1"/>
  <c r="Q375" i="1"/>
  <c r="T375" i="1" s="1"/>
  <c r="Q363" i="1"/>
  <c r="T363" i="1" s="1"/>
  <c r="Q351" i="1"/>
  <c r="T351" i="1" s="1"/>
  <c r="Q339" i="1"/>
  <c r="T339" i="1" s="1"/>
  <c r="Q327" i="1"/>
  <c r="T327" i="1" s="1"/>
  <c r="Q315" i="1"/>
  <c r="T315" i="1" s="1"/>
  <c r="Q303" i="1"/>
  <c r="T303" i="1" s="1"/>
  <c r="Q291" i="1"/>
  <c r="T291" i="1" s="1"/>
  <c r="Q279" i="1"/>
  <c r="T279" i="1" s="1"/>
  <c r="P2" i="1"/>
  <c r="Q489" i="1"/>
  <c r="T489" i="1" s="1"/>
  <c r="Q477" i="1"/>
  <c r="T477" i="1" s="1"/>
  <c r="Q465" i="1"/>
  <c r="T465" i="1" s="1"/>
  <c r="Q453" i="1"/>
  <c r="T453" i="1" s="1"/>
  <c r="Q379" i="1"/>
  <c r="T379" i="1" s="1"/>
  <c r="Q367" i="1"/>
  <c r="T367" i="1" s="1"/>
  <c r="Q355" i="1"/>
  <c r="T355" i="1" s="1"/>
  <c r="Q343" i="1"/>
  <c r="T343" i="1" s="1"/>
  <c r="Q331" i="1"/>
  <c r="T331" i="1" s="1"/>
  <c r="Q319" i="1"/>
  <c r="T319" i="1" s="1"/>
  <c r="Q307" i="1"/>
  <c r="T307" i="1" s="1"/>
  <c r="Q295" i="1"/>
  <c r="T295" i="1" s="1"/>
  <c r="Q283" i="1"/>
  <c r="T283" i="1" s="1"/>
  <c r="Q271" i="1"/>
  <c r="T271" i="1" s="1"/>
  <c r="Q259" i="1"/>
  <c r="T259" i="1" s="1"/>
  <c r="Q247" i="1"/>
  <c r="T247" i="1" s="1"/>
  <c r="Q235" i="1"/>
  <c r="T235" i="1" s="1"/>
  <c r="Q223" i="1"/>
  <c r="T223" i="1" s="1"/>
  <c r="Q211" i="1"/>
  <c r="T211" i="1" s="1"/>
  <c r="Q199" i="1"/>
  <c r="T199" i="1" s="1"/>
  <c r="Q187" i="1"/>
  <c r="T187" i="1" s="1"/>
  <c r="Q175" i="1"/>
  <c r="T175" i="1" s="1"/>
  <c r="Q163" i="1"/>
  <c r="T163" i="1" s="1"/>
  <c r="Q151" i="1"/>
  <c r="T151" i="1" s="1"/>
  <c r="Q139" i="1"/>
  <c r="T139" i="1" s="1"/>
  <c r="Q127" i="1"/>
  <c r="T127" i="1" s="1"/>
  <c r="Q115" i="1"/>
  <c r="T115" i="1" s="1"/>
  <c r="Q103" i="1"/>
  <c r="T103" i="1" s="1"/>
  <c r="Q91" i="1"/>
  <c r="T91" i="1" s="1"/>
  <c r="Q79" i="1"/>
  <c r="T79" i="1" s="1"/>
  <c r="Q67" i="1"/>
  <c r="T67" i="1" s="1"/>
  <c r="Q55" i="1"/>
  <c r="T55" i="1" s="1"/>
  <c r="Q43" i="1"/>
  <c r="T43" i="1" s="1"/>
  <c r="Q31" i="1"/>
  <c r="T31" i="1" s="1"/>
  <c r="Q19" i="1"/>
  <c r="T19" i="1" s="1"/>
  <c r="Q7" i="1"/>
  <c r="T7" i="1" s="1"/>
  <c r="Q498" i="1"/>
  <c r="T498" i="1" s="1"/>
  <c r="Q486" i="1"/>
  <c r="T486" i="1" s="1"/>
  <c r="Q474" i="1"/>
  <c r="T474" i="1" s="1"/>
  <c r="Q462" i="1"/>
  <c r="T462" i="1" s="1"/>
  <c r="Q450" i="1"/>
  <c r="T450" i="1" s="1"/>
  <c r="Q438" i="1"/>
  <c r="T438" i="1" s="1"/>
  <c r="Q426" i="1"/>
  <c r="T426" i="1" s="1"/>
  <c r="Q414" i="1"/>
  <c r="T414" i="1" s="1"/>
  <c r="Q402" i="1"/>
  <c r="T402" i="1" s="1"/>
  <c r="Q390" i="1"/>
  <c r="T390" i="1" s="1"/>
  <c r="Q378" i="1"/>
  <c r="T378" i="1" s="1"/>
  <c r="Q366" i="1"/>
  <c r="T366" i="1" s="1"/>
  <c r="Q354" i="1"/>
  <c r="T354" i="1" s="1"/>
  <c r="Q342" i="1"/>
  <c r="T342" i="1" s="1"/>
  <c r="Q330" i="1"/>
  <c r="T330" i="1" s="1"/>
  <c r="Q318" i="1"/>
  <c r="T318" i="1" s="1"/>
  <c r="Q306" i="1"/>
  <c r="T306" i="1" s="1"/>
  <c r="Q294" i="1"/>
  <c r="T294" i="1" s="1"/>
  <c r="Q282" i="1"/>
  <c r="T282" i="1" s="1"/>
  <c r="Q270" i="1"/>
  <c r="T270" i="1" s="1"/>
  <c r="Q258" i="1"/>
  <c r="T258" i="1" s="1"/>
  <c r="Q246" i="1"/>
  <c r="T246" i="1" s="1"/>
  <c r="Q234" i="1"/>
  <c r="T234" i="1" s="1"/>
  <c r="Q222" i="1"/>
  <c r="T222" i="1" s="1"/>
  <c r="Q210" i="1"/>
  <c r="T210" i="1" s="1"/>
  <c r="Q198" i="1"/>
  <c r="T198" i="1" s="1"/>
  <c r="Q186" i="1"/>
  <c r="T186" i="1" s="1"/>
  <c r="Q174" i="1"/>
  <c r="T174" i="1" s="1"/>
  <c r="Q162" i="1"/>
  <c r="T162" i="1" s="1"/>
  <c r="Q150" i="1"/>
  <c r="T150" i="1" s="1"/>
  <c r="Q138" i="1"/>
  <c r="T138" i="1" s="1"/>
  <c r="Q126" i="1"/>
  <c r="T126" i="1" s="1"/>
  <c r="Q114" i="1"/>
  <c r="T114" i="1" s="1"/>
  <c r="Q102" i="1"/>
  <c r="T102" i="1" s="1"/>
  <c r="Q90" i="1"/>
  <c r="T90" i="1" s="1"/>
  <c r="Q78" i="1"/>
  <c r="T78" i="1" s="1"/>
  <c r="Q66" i="1"/>
  <c r="T66" i="1" s="1"/>
  <c r="Q54" i="1"/>
  <c r="T54" i="1" s="1"/>
  <c r="Q42" i="1"/>
  <c r="T42" i="1" s="1"/>
  <c r="Q30" i="1"/>
  <c r="T30" i="1" s="1"/>
  <c r="Q18" i="1"/>
  <c r="T18" i="1" s="1"/>
  <c r="Q6" i="1"/>
  <c r="T6" i="1" s="1"/>
  <c r="Q441" i="1"/>
  <c r="T441" i="1" s="1"/>
  <c r="Q429" i="1"/>
  <c r="T429" i="1" s="1"/>
  <c r="Q417" i="1"/>
  <c r="T417" i="1" s="1"/>
  <c r="Q405" i="1"/>
  <c r="T405" i="1" s="1"/>
  <c r="Q393" i="1"/>
  <c r="T393" i="1" s="1"/>
  <c r="Q381" i="1"/>
  <c r="T381" i="1" s="1"/>
  <c r="Q369" i="1"/>
  <c r="T369" i="1" s="1"/>
  <c r="Q357" i="1"/>
  <c r="T357" i="1" s="1"/>
  <c r="Q345" i="1"/>
  <c r="T345" i="1" s="1"/>
  <c r="Q333" i="1"/>
  <c r="T333" i="1" s="1"/>
  <c r="Q321" i="1"/>
  <c r="T321" i="1" s="1"/>
  <c r="Q309" i="1"/>
  <c r="T309" i="1" s="1"/>
  <c r="Q297" i="1"/>
  <c r="T297" i="1" s="1"/>
  <c r="Q285" i="1"/>
  <c r="T285" i="1" s="1"/>
  <c r="Q273" i="1"/>
  <c r="T273" i="1" s="1"/>
  <c r="Q261" i="1"/>
  <c r="T261" i="1" s="1"/>
  <c r="Q249" i="1"/>
  <c r="T249" i="1" s="1"/>
  <c r="Q237" i="1"/>
  <c r="T237" i="1" s="1"/>
  <c r="Q225" i="1"/>
  <c r="T225" i="1" s="1"/>
  <c r="Q213" i="1"/>
  <c r="T213" i="1" s="1"/>
  <c r="Q201" i="1"/>
  <c r="T201" i="1" s="1"/>
  <c r="Q189" i="1"/>
  <c r="T189" i="1" s="1"/>
  <c r="Q177" i="1"/>
  <c r="T177" i="1" s="1"/>
  <c r="Q165" i="1"/>
  <c r="T165" i="1" s="1"/>
  <c r="Q153" i="1"/>
  <c r="T153" i="1" s="1"/>
  <c r="Q141" i="1"/>
  <c r="T141" i="1" s="1"/>
  <c r="Q129" i="1"/>
  <c r="T129" i="1" s="1"/>
  <c r="Q117" i="1"/>
  <c r="T117" i="1" s="1"/>
  <c r="Q105" i="1"/>
  <c r="T105" i="1" s="1"/>
  <c r="Q93" i="1"/>
  <c r="T93" i="1" s="1"/>
  <c r="Q81" i="1"/>
  <c r="T81" i="1" s="1"/>
  <c r="Q69" i="1"/>
  <c r="T69" i="1" s="1"/>
  <c r="Q57" i="1"/>
  <c r="T57" i="1" s="1"/>
  <c r="Q45" i="1"/>
  <c r="T45" i="1" s="1"/>
  <c r="Q33" i="1"/>
  <c r="T33" i="1" s="1"/>
  <c r="Q21" i="1"/>
  <c r="T21" i="1" s="1"/>
  <c r="Q9" i="1"/>
  <c r="T9" i="1" s="1"/>
  <c r="Q500" i="1"/>
  <c r="T500" i="1" s="1"/>
  <c r="Q488" i="1"/>
  <c r="T488" i="1" s="1"/>
  <c r="Q476" i="1"/>
  <c r="T476" i="1" s="1"/>
  <c r="Q464" i="1"/>
  <c r="T464" i="1" s="1"/>
  <c r="Q452" i="1"/>
  <c r="T452" i="1" s="1"/>
  <c r="Q440" i="1"/>
  <c r="T440" i="1" s="1"/>
  <c r="Q428" i="1"/>
  <c r="T428" i="1" s="1"/>
  <c r="Q416" i="1"/>
  <c r="T416" i="1" s="1"/>
  <c r="Q404" i="1"/>
  <c r="T404" i="1" s="1"/>
  <c r="Q392" i="1"/>
  <c r="T392" i="1" s="1"/>
  <c r="Q380" i="1"/>
  <c r="T380" i="1" s="1"/>
  <c r="Q368" i="1"/>
  <c r="T368" i="1" s="1"/>
  <c r="Q356" i="1"/>
  <c r="T356" i="1" s="1"/>
  <c r="Q344" i="1"/>
  <c r="T344" i="1" s="1"/>
  <c r="Q332" i="1"/>
  <c r="T332" i="1" s="1"/>
  <c r="Q320" i="1"/>
  <c r="T320" i="1" s="1"/>
  <c r="Q308" i="1"/>
  <c r="T308" i="1" s="1"/>
  <c r="Q296" i="1"/>
  <c r="T296" i="1" s="1"/>
  <c r="Q284" i="1"/>
  <c r="T284" i="1" s="1"/>
  <c r="Q272" i="1"/>
  <c r="T272" i="1" s="1"/>
  <c r="Q260" i="1"/>
  <c r="T260" i="1" s="1"/>
  <c r="Q248" i="1"/>
  <c r="T248" i="1" s="1"/>
  <c r="Q236" i="1"/>
  <c r="T236" i="1" s="1"/>
  <c r="Q224" i="1"/>
  <c r="T224" i="1" s="1"/>
  <c r="Q212" i="1"/>
  <c r="T212" i="1" s="1"/>
  <c r="Q200" i="1"/>
  <c r="T200" i="1" s="1"/>
  <c r="Q188" i="1"/>
  <c r="T188" i="1" s="1"/>
  <c r="Q176" i="1"/>
  <c r="T176" i="1" s="1"/>
  <c r="Q164" i="1"/>
  <c r="T164" i="1" s="1"/>
  <c r="Q152" i="1"/>
  <c r="T152" i="1" s="1"/>
  <c r="Q140" i="1"/>
  <c r="T140" i="1" s="1"/>
  <c r="Q128" i="1"/>
  <c r="T128" i="1" s="1"/>
  <c r="Q116" i="1"/>
  <c r="T116" i="1" s="1"/>
  <c r="Q104" i="1"/>
  <c r="T104" i="1" s="1"/>
  <c r="Q92" i="1"/>
  <c r="T92" i="1" s="1"/>
  <c r="Q80" i="1"/>
  <c r="T80" i="1" s="1"/>
  <c r="Q68" i="1"/>
  <c r="T68" i="1" s="1"/>
  <c r="Q56" i="1"/>
  <c r="T56" i="1" s="1"/>
  <c r="Q44" i="1"/>
  <c r="T44" i="1" s="1"/>
  <c r="Q32" i="1"/>
  <c r="T32" i="1" s="1"/>
  <c r="Q20" i="1"/>
  <c r="T20" i="1" s="1"/>
  <c r="Q8" i="1"/>
  <c r="T8" i="1" s="1"/>
  <c r="Q497" i="1"/>
  <c r="T497" i="1" s="1"/>
  <c r="Q485" i="1"/>
  <c r="T485" i="1" s="1"/>
  <c r="Q473" i="1"/>
  <c r="T473" i="1" s="1"/>
  <c r="Q461" i="1"/>
  <c r="T461" i="1" s="1"/>
  <c r="Q449" i="1"/>
  <c r="T449" i="1" s="1"/>
  <c r="Q437" i="1"/>
  <c r="T437" i="1" s="1"/>
  <c r="Q425" i="1"/>
  <c r="T425" i="1" s="1"/>
  <c r="Q413" i="1"/>
  <c r="T413" i="1" s="1"/>
  <c r="Q401" i="1"/>
  <c r="T401" i="1" s="1"/>
  <c r="Q389" i="1"/>
  <c r="T389" i="1" s="1"/>
  <c r="Q377" i="1"/>
  <c r="T377" i="1" s="1"/>
  <c r="Q365" i="1"/>
  <c r="T365" i="1" s="1"/>
  <c r="Q353" i="1"/>
  <c r="T353" i="1" s="1"/>
  <c r="Q341" i="1"/>
  <c r="T341" i="1" s="1"/>
  <c r="Q329" i="1"/>
  <c r="T329" i="1" s="1"/>
  <c r="Q317" i="1"/>
  <c r="T317" i="1" s="1"/>
  <c r="Q305" i="1"/>
  <c r="T305" i="1" s="1"/>
  <c r="Q293" i="1"/>
  <c r="T293" i="1" s="1"/>
  <c r="Q281" i="1"/>
  <c r="T281" i="1" s="1"/>
  <c r="Q269" i="1"/>
  <c r="T269" i="1" s="1"/>
  <c r="Q257" i="1"/>
  <c r="T257" i="1" s="1"/>
  <c r="Q245" i="1"/>
  <c r="T245" i="1" s="1"/>
  <c r="Q233" i="1"/>
  <c r="T233" i="1" s="1"/>
  <c r="Q221" i="1"/>
  <c r="T221" i="1" s="1"/>
  <c r="Q209" i="1"/>
  <c r="T209" i="1" s="1"/>
  <c r="Q197" i="1"/>
  <c r="T197" i="1" s="1"/>
  <c r="Q185" i="1"/>
  <c r="T185" i="1" s="1"/>
  <c r="Q173" i="1"/>
  <c r="T173" i="1" s="1"/>
  <c r="Q161" i="1"/>
  <c r="T161" i="1" s="1"/>
  <c r="Q149" i="1"/>
  <c r="T149" i="1" s="1"/>
  <c r="Q137" i="1"/>
  <c r="T137" i="1" s="1"/>
  <c r="Q125" i="1"/>
  <c r="T125" i="1" s="1"/>
  <c r="Q113" i="1"/>
  <c r="T113" i="1" s="1"/>
  <c r="Q101" i="1"/>
  <c r="T101" i="1" s="1"/>
  <c r="Q89" i="1"/>
  <c r="T89" i="1" s="1"/>
  <c r="Q77" i="1"/>
  <c r="T77" i="1" s="1"/>
  <c r="Q65" i="1"/>
  <c r="T65" i="1" s="1"/>
  <c r="Q53" i="1"/>
  <c r="T53" i="1" s="1"/>
  <c r="Q41" i="1"/>
  <c r="T41" i="1" s="1"/>
  <c r="Q29" i="1"/>
  <c r="T29" i="1" s="1"/>
  <c r="Q17" i="1"/>
  <c r="T17" i="1" s="1"/>
  <c r="Q5" i="1"/>
  <c r="T5" i="1" s="1"/>
  <c r="Q496" i="1"/>
  <c r="T496" i="1" s="1"/>
  <c r="Q484" i="1"/>
  <c r="T484" i="1" s="1"/>
  <c r="Q472" i="1"/>
  <c r="T472" i="1" s="1"/>
  <c r="Q460" i="1"/>
  <c r="T460" i="1" s="1"/>
  <c r="Q448" i="1"/>
  <c r="T448" i="1" s="1"/>
  <c r="Q436" i="1"/>
  <c r="T436" i="1" s="1"/>
  <c r="Q424" i="1"/>
  <c r="T424" i="1" s="1"/>
  <c r="Q412" i="1"/>
  <c r="T412" i="1" s="1"/>
  <c r="Q400" i="1"/>
  <c r="T400" i="1" s="1"/>
  <c r="Q388" i="1"/>
  <c r="T388" i="1" s="1"/>
  <c r="Q376" i="1"/>
  <c r="T376" i="1" s="1"/>
  <c r="Q364" i="1"/>
  <c r="T364" i="1" s="1"/>
  <c r="Q352" i="1"/>
  <c r="T352" i="1" s="1"/>
  <c r="Q340" i="1"/>
  <c r="T340" i="1" s="1"/>
  <c r="Q328" i="1"/>
  <c r="T328" i="1" s="1"/>
  <c r="Q316" i="1"/>
  <c r="T316" i="1" s="1"/>
  <c r="Q304" i="1"/>
  <c r="T304" i="1" s="1"/>
  <c r="Q292" i="1"/>
  <c r="T292" i="1" s="1"/>
  <c r="Q280" i="1"/>
  <c r="T280" i="1" s="1"/>
  <c r="Q268" i="1"/>
  <c r="T268" i="1" s="1"/>
  <c r="Q256" i="1"/>
  <c r="T256" i="1" s="1"/>
  <c r="Q244" i="1"/>
  <c r="T244" i="1" s="1"/>
  <c r="Q232" i="1"/>
  <c r="T232" i="1" s="1"/>
  <c r="Q220" i="1"/>
  <c r="T220" i="1" s="1"/>
  <c r="Q208" i="1"/>
  <c r="T208" i="1" s="1"/>
  <c r="Q196" i="1"/>
  <c r="T196" i="1" s="1"/>
  <c r="Q184" i="1"/>
  <c r="T184" i="1" s="1"/>
  <c r="Q172" i="1"/>
  <c r="T172" i="1" s="1"/>
  <c r="Q160" i="1"/>
  <c r="T160" i="1" s="1"/>
  <c r="Q148" i="1"/>
  <c r="T148" i="1" s="1"/>
  <c r="Q136" i="1"/>
  <c r="T136" i="1" s="1"/>
  <c r="Q124" i="1"/>
  <c r="T124" i="1" s="1"/>
  <c r="Q112" i="1"/>
  <c r="T112" i="1" s="1"/>
  <c r="Q100" i="1"/>
  <c r="T100" i="1" s="1"/>
  <c r="Q88" i="1"/>
  <c r="T88" i="1" s="1"/>
  <c r="Q76" i="1"/>
  <c r="T76" i="1" s="1"/>
  <c r="Q64" i="1"/>
  <c r="T64" i="1" s="1"/>
  <c r="Q52" i="1"/>
  <c r="T52" i="1" s="1"/>
  <c r="Q40" i="1"/>
  <c r="T40" i="1" s="1"/>
  <c r="Q28" i="1"/>
  <c r="T28" i="1" s="1"/>
  <c r="Q16" i="1"/>
  <c r="T16" i="1" s="1"/>
  <c r="Q4" i="1"/>
  <c r="T4" i="1" s="1"/>
  <c r="Q267" i="1"/>
  <c r="T267" i="1" s="1"/>
  <c r="Q255" i="1"/>
  <c r="T255" i="1" s="1"/>
  <c r="Q243" i="1"/>
  <c r="T243" i="1" s="1"/>
  <c r="Q231" i="1"/>
  <c r="T231" i="1" s="1"/>
  <c r="Q219" i="1"/>
  <c r="T219" i="1" s="1"/>
  <c r="Q207" i="1"/>
  <c r="T207" i="1" s="1"/>
  <c r="Q195" i="1"/>
  <c r="T195" i="1" s="1"/>
  <c r="Q183" i="1"/>
  <c r="T183" i="1" s="1"/>
  <c r="Q171" i="1"/>
  <c r="T171" i="1" s="1"/>
  <c r="Q159" i="1"/>
  <c r="T159" i="1" s="1"/>
  <c r="Q147" i="1"/>
  <c r="T147" i="1" s="1"/>
  <c r="Q135" i="1"/>
  <c r="T135" i="1" s="1"/>
  <c r="Q123" i="1"/>
  <c r="T123" i="1" s="1"/>
  <c r="Q111" i="1"/>
  <c r="T111" i="1" s="1"/>
  <c r="Q99" i="1"/>
  <c r="T99" i="1" s="1"/>
  <c r="Q87" i="1"/>
  <c r="T87" i="1" s="1"/>
  <c r="Q75" i="1"/>
  <c r="T75" i="1" s="1"/>
  <c r="Q63" i="1"/>
  <c r="T63" i="1" s="1"/>
  <c r="Q51" i="1"/>
  <c r="T51" i="1" s="1"/>
  <c r="Q39" i="1"/>
  <c r="T39" i="1" s="1"/>
  <c r="Q27" i="1"/>
  <c r="T27" i="1" s="1"/>
  <c r="Q15" i="1"/>
  <c r="T15" i="1" s="1"/>
  <c r="Q3" i="1"/>
  <c r="T3" i="1" s="1"/>
  <c r="Q494" i="1"/>
  <c r="T494" i="1" s="1"/>
  <c r="Q482" i="1"/>
  <c r="T482" i="1" s="1"/>
  <c r="Q470" i="1"/>
  <c r="T470" i="1" s="1"/>
  <c r="Q458" i="1"/>
  <c r="T458" i="1" s="1"/>
  <c r="Q446" i="1"/>
  <c r="T446" i="1" s="1"/>
  <c r="Q434" i="1"/>
  <c r="T434" i="1" s="1"/>
  <c r="Q422" i="1"/>
  <c r="T422" i="1" s="1"/>
  <c r="Q410" i="1"/>
  <c r="T410" i="1" s="1"/>
  <c r="Q398" i="1"/>
  <c r="T398" i="1" s="1"/>
  <c r="Q386" i="1"/>
  <c r="T386" i="1" s="1"/>
  <c r="Q374" i="1"/>
  <c r="T374" i="1" s="1"/>
  <c r="Q362" i="1"/>
  <c r="T362" i="1" s="1"/>
  <c r="Q350" i="1"/>
  <c r="T350" i="1" s="1"/>
  <c r="Q338" i="1"/>
  <c r="T338" i="1" s="1"/>
  <c r="Q326" i="1"/>
  <c r="T326" i="1" s="1"/>
  <c r="Q314" i="1"/>
  <c r="T314" i="1" s="1"/>
  <c r="Q302" i="1"/>
  <c r="T302" i="1" s="1"/>
  <c r="Q290" i="1"/>
  <c r="T290" i="1" s="1"/>
  <c r="Q278" i="1"/>
  <c r="T278" i="1" s="1"/>
  <c r="Q266" i="1"/>
  <c r="T266" i="1" s="1"/>
  <c r="Q254" i="1"/>
  <c r="T254" i="1" s="1"/>
  <c r="Q242" i="1"/>
  <c r="T242" i="1" s="1"/>
  <c r="Q230" i="1"/>
  <c r="T230" i="1" s="1"/>
  <c r="Q218" i="1"/>
  <c r="T218" i="1" s="1"/>
  <c r="Q206" i="1"/>
  <c r="T206" i="1" s="1"/>
  <c r="Q194" i="1"/>
  <c r="T194" i="1" s="1"/>
  <c r="Q182" i="1"/>
  <c r="T182" i="1" s="1"/>
  <c r="Q170" i="1"/>
  <c r="T170" i="1" s="1"/>
  <c r="Q158" i="1"/>
  <c r="T158" i="1" s="1"/>
  <c r="Q146" i="1"/>
  <c r="T146" i="1" s="1"/>
  <c r="Q134" i="1"/>
  <c r="T134" i="1" s="1"/>
  <c r="Q122" i="1"/>
  <c r="T122" i="1" s="1"/>
  <c r="Q110" i="1"/>
  <c r="T110" i="1" s="1"/>
  <c r="Q98" i="1"/>
  <c r="T98" i="1" s="1"/>
  <c r="Q86" i="1"/>
  <c r="T86" i="1" s="1"/>
  <c r="Q74" i="1"/>
  <c r="T74" i="1" s="1"/>
  <c r="Q62" i="1"/>
  <c r="T62" i="1" s="1"/>
  <c r="Q50" i="1"/>
  <c r="T50" i="1" s="1"/>
  <c r="Q38" i="1"/>
  <c r="T38" i="1" s="1"/>
  <c r="Q26" i="1"/>
  <c r="T26" i="1" s="1"/>
  <c r="Q14" i="1"/>
  <c r="T14" i="1" s="1"/>
  <c r="Q491" i="1"/>
  <c r="T491" i="1" s="1"/>
  <c r="Q479" i="1"/>
  <c r="T479" i="1" s="1"/>
  <c r="Q467" i="1"/>
  <c r="T467" i="1" s="1"/>
  <c r="Q455" i="1"/>
  <c r="T455" i="1" s="1"/>
  <c r="Q443" i="1"/>
  <c r="T443" i="1" s="1"/>
  <c r="Q431" i="1"/>
  <c r="T431" i="1" s="1"/>
  <c r="Q419" i="1"/>
  <c r="T419" i="1" s="1"/>
  <c r="Q407" i="1"/>
  <c r="T407" i="1" s="1"/>
  <c r="Q395" i="1"/>
  <c r="T395" i="1" s="1"/>
  <c r="Q383" i="1"/>
  <c r="T383" i="1" s="1"/>
  <c r="Q371" i="1"/>
  <c r="T371" i="1" s="1"/>
  <c r="Q359" i="1"/>
  <c r="T359" i="1" s="1"/>
  <c r="Q347" i="1"/>
  <c r="T347" i="1" s="1"/>
  <c r="Q335" i="1"/>
  <c r="T335" i="1" s="1"/>
  <c r="Q323" i="1"/>
  <c r="T323" i="1" s="1"/>
  <c r="Q311" i="1"/>
  <c r="T311" i="1" s="1"/>
  <c r="Q299" i="1"/>
  <c r="T299" i="1" s="1"/>
  <c r="Q287" i="1"/>
  <c r="T287" i="1" s="1"/>
  <c r="Q275" i="1"/>
  <c r="T275" i="1" s="1"/>
  <c r="Q263" i="1"/>
  <c r="T263" i="1" s="1"/>
  <c r="Q251" i="1"/>
  <c r="T251" i="1" s="1"/>
  <c r="Q239" i="1"/>
  <c r="T239" i="1" s="1"/>
  <c r="Q227" i="1"/>
  <c r="T227" i="1" s="1"/>
  <c r="Q215" i="1"/>
  <c r="T215" i="1" s="1"/>
  <c r="Q203" i="1"/>
  <c r="T203" i="1" s="1"/>
  <c r="Q191" i="1"/>
  <c r="T191" i="1" s="1"/>
  <c r="Q179" i="1"/>
  <c r="T179" i="1" s="1"/>
  <c r="Q167" i="1"/>
  <c r="T167" i="1" s="1"/>
  <c r="Q155" i="1"/>
  <c r="T155" i="1" s="1"/>
  <c r="Q143" i="1"/>
  <c r="T143" i="1" s="1"/>
  <c r="Q131" i="1"/>
  <c r="T131" i="1" s="1"/>
  <c r="Q119" i="1"/>
  <c r="T119" i="1" s="1"/>
  <c r="Q107" i="1"/>
  <c r="T107" i="1" s="1"/>
  <c r="Q95" i="1"/>
  <c r="T95" i="1" s="1"/>
  <c r="Q83" i="1"/>
  <c r="T83" i="1" s="1"/>
  <c r="Q71" i="1"/>
  <c r="T71" i="1" s="1"/>
  <c r="Q59" i="1"/>
  <c r="T59" i="1" s="1"/>
  <c r="Q47" i="1"/>
  <c r="T47" i="1" s="1"/>
  <c r="Q35" i="1"/>
  <c r="T35" i="1" s="1"/>
  <c r="Q23" i="1"/>
  <c r="T23" i="1" s="1"/>
  <c r="Q11" i="1"/>
  <c r="T11" i="1" s="1"/>
  <c r="Q490" i="1"/>
  <c r="T490" i="1" s="1"/>
  <c r="Q478" i="1"/>
  <c r="T478" i="1" s="1"/>
  <c r="Q466" i="1"/>
  <c r="T466" i="1" s="1"/>
  <c r="Q454" i="1"/>
  <c r="T454" i="1" s="1"/>
  <c r="Q442" i="1"/>
  <c r="T442" i="1" s="1"/>
  <c r="Q430" i="1"/>
  <c r="T430" i="1" s="1"/>
  <c r="Q418" i="1"/>
  <c r="T418" i="1" s="1"/>
  <c r="Q406" i="1"/>
  <c r="T406" i="1" s="1"/>
  <c r="Q394" i="1"/>
  <c r="T394" i="1" s="1"/>
  <c r="Q382" i="1"/>
  <c r="T382" i="1" s="1"/>
  <c r="Q370" i="1"/>
  <c r="T370" i="1" s="1"/>
  <c r="Q358" i="1"/>
  <c r="T358" i="1" s="1"/>
  <c r="Q346" i="1"/>
  <c r="T346" i="1" s="1"/>
  <c r="Q334" i="1"/>
  <c r="T334" i="1" s="1"/>
  <c r="Q322" i="1"/>
  <c r="T322" i="1" s="1"/>
  <c r="Q310" i="1"/>
  <c r="T310" i="1" s="1"/>
  <c r="Q298" i="1"/>
  <c r="T298" i="1" s="1"/>
  <c r="Q286" i="1"/>
  <c r="T286" i="1" s="1"/>
  <c r="Q274" i="1"/>
  <c r="T274" i="1" s="1"/>
  <c r="Q262" i="1"/>
  <c r="T262" i="1" s="1"/>
  <c r="Q250" i="1"/>
  <c r="T250" i="1" s="1"/>
  <c r="Q238" i="1"/>
  <c r="T238" i="1" s="1"/>
  <c r="Q226" i="1"/>
  <c r="T226" i="1" s="1"/>
  <c r="Q214" i="1"/>
  <c r="T214" i="1" s="1"/>
  <c r="Q202" i="1"/>
  <c r="T202" i="1" s="1"/>
  <c r="Q190" i="1"/>
  <c r="T190" i="1" s="1"/>
  <c r="Q178" i="1"/>
  <c r="T178" i="1" s="1"/>
  <c r="Q166" i="1"/>
  <c r="T166" i="1" s="1"/>
  <c r="Q154" i="1"/>
  <c r="T154" i="1" s="1"/>
  <c r="Q142" i="1"/>
  <c r="T142" i="1" s="1"/>
  <c r="Q130" i="1"/>
  <c r="T130" i="1" s="1"/>
  <c r="Q118" i="1"/>
  <c r="T118" i="1" s="1"/>
  <c r="Q106" i="1"/>
  <c r="T106" i="1" s="1"/>
  <c r="Q94" i="1"/>
  <c r="T94" i="1" s="1"/>
  <c r="Q82" i="1"/>
  <c r="T82" i="1" s="1"/>
  <c r="Q70" i="1"/>
  <c r="T70" i="1" s="1"/>
  <c r="Q58" i="1"/>
  <c r="T58" i="1" s="1"/>
  <c r="Q46" i="1"/>
  <c r="T46" i="1" s="1"/>
  <c r="Q34" i="1"/>
  <c r="T34" i="1" s="1"/>
  <c r="Q22" i="1"/>
  <c r="T22" i="1" s="1"/>
  <c r="Q10" i="1"/>
  <c r="T10" i="1" s="1"/>
</calcChain>
</file>

<file path=xl/sharedStrings.xml><?xml version="1.0" encoding="utf-8"?>
<sst xmlns="http://schemas.openxmlformats.org/spreadsheetml/2006/main" count="207" uniqueCount="163">
  <si>
    <t>Transaction_ID</t>
  </si>
  <si>
    <t>Sale_Date</t>
  </si>
  <si>
    <t>Property_Type</t>
  </si>
  <si>
    <t>Location_City</t>
  </si>
  <si>
    <t>Bedrooms</t>
  </si>
  <si>
    <t>Bathrooms</t>
  </si>
  <si>
    <t>Floor_Area_sqm</t>
  </si>
  <si>
    <t>Lot_Area_sqm</t>
  </si>
  <si>
    <t>Year_Built</t>
  </si>
  <si>
    <t>Listing_Price</t>
  </si>
  <si>
    <t>Sale_Price</t>
  </si>
  <si>
    <t>Agent_Name</t>
  </si>
  <si>
    <t>Buyer_Type</t>
  </si>
  <si>
    <t>Payment_Method</t>
  </si>
  <si>
    <t>Days_on_Market</t>
  </si>
  <si>
    <t>Commission_PHP</t>
  </si>
  <si>
    <t>Discount_PHP</t>
  </si>
  <si>
    <t>Grand Total</t>
  </si>
  <si>
    <t>Commercial</t>
  </si>
  <si>
    <t>Condo</t>
  </si>
  <si>
    <t>House &amp; Lot</t>
  </si>
  <si>
    <t>Land</t>
  </si>
  <si>
    <t>Bulacan</t>
  </si>
  <si>
    <t>Cavite</t>
  </si>
  <si>
    <t>Laguna</t>
  </si>
  <si>
    <t>Makati</t>
  </si>
  <si>
    <t>Sum of Sale_Price</t>
  </si>
  <si>
    <t>Price per sqm</t>
  </si>
  <si>
    <t>Effective_Area_sqm</t>
  </si>
  <si>
    <t>Sum of Commission_PHP</t>
  </si>
  <si>
    <t>Anna Mendoza</t>
  </si>
  <si>
    <t>Daniel Cruz</t>
  </si>
  <si>
    <t>John Dela Cruz</t>
  </si>
  <si>
    <t>Joy Ramos</t>
  </si>
  <si>
    <t>Mark Reyes</t>
  </si>
  <si>
    <t>Mary Garcia</t>
  </si>
  <si>
    <t>Michael Santos</t>
  </si>
  <si>
    <t>Michelle Flores</t>
  </si>
  <si>
    <t>Rachel Villanueva</t>
  </si>
  <si>
    <t>Corporation</t>
  </si>
  <si>
    <t>Discounted Rate</t>
  </si>
  <si>
    <t>Sales_Property Type</t>
  </si>
  <si>
    <t>Property Type</t>
  </si>
  <si>
    <t>Region/City</t>
  </si>
  <si>
    <t>Agent Name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</si>
  <si>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</si>
  <si>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</si>
  <si>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</si>
  <si>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</si>
  <si>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</si>
  <si>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</si>
  <si>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</si>
  <si>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</si>
  <si>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</si>
  <si>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Year</t>
  </si>
  <si>
    <t>Growth %</t>
  </si>
  <si>
    <t>Month</t>
  </si>
  <si>
    <t>Row Labels</t>
  </si>
  <si>
    <t>Apr-2018</t>
  </si>
  <si>
    <t>Apr-2019</t>
  </si>
  <si>
    <t>Apr-2020</t>
  </si>
  <si>
    <t>Apr-2021</t>
  </si>
  <si>
    <t>Apr-2022</t>
  </si>
  <si>
    <t>Apr-2023</t>
  </si>
  <si>
    <t>Apr-2024</t>
  </si>
  <si>
    <t>Apr-2025</t>
  </si>
  <si>
    <t>Aug-2018</t>
  </si>
  <si>
    <t>Aug-2019</t>
  </si>
  <si>
    <t>Aug-2020</t>
  </si>
  <si>
    <t>Aug-2021</t>
  </si>
  <si>
    <t>Aug-2022</t>
  </si>
  <si>
    <t>Aug-2023</t>
  </si>
  <si>
    <t>Aug-2024</t>
  </si>
  <si>
    <t>Aug-2025</t>
  </si>
  <si>
    <t>Dec-2018</t>
  </si>
  <si>
    <t>Dec-2019</t>
  </si>
  <si>
    <t>Dec-2020</t>
  </si>
  <si>
    <t>Dec-2021</t>
  </si>
  <si>
    <t>Dec-2022</t>
  </si>
  <si>
    <t>Dec-2023</t>
  </si>
  <si>
    <t>Dec-2024</t>
  </si>
  <si>
    <t>Dec-2025</t>
  </si>
  <si>
    <t>Feb-2018</t>
  </si>
  <si>
    <t>Feb-2019</t>
  </si>
  <si>
    <t>Feb-2020</t>
  </si>
  <si>
    <t>Feb-2021</t>
  </si>
  <si>
    <t>Feb-2022</t>
  </si>
  <si>
    <t>Feb-2023</t>
  </si>
  <si>
    <t>Feb-2024</t>
  </si>
  <si>
    <t>Feb-2025</t>
  </si>
  <si>
    <t>Feb-2026</t>
  </si>
  <si>
    <t>Jan-2018</t>
  </si>
  <si>
    <t>Jan-2019</t>
  </si>
  <si>
    <t>Jan-2020</t>
  </si>
  <si>
    <t>Jan-2021</t>
  </si>
  <si>
    <t>Jan-2022</t>
  </si>
  <si>
    <t>Jan-2023</t>
  </si>
  <si>
    <t>Jan-2024</t>
  </si>
  <si>
    <t>Jan-2025</t>
  </si>
  <si>
    <t>Jan-2026</t>
  </si>
  <si>
    <t>Jul-2018</t>
  </si>
  <si>
    <t>Jul-2019</t>
  </si>
  <si>
    <t>Jul-2020</t>
  </si>
  <si>
    <t>Jul-2021</t>
  </si>
  <si>
    <t>Jul-2022</t>
  </si>
  <si>
    <t>Jul-2023</t>
  </si>
  <si>
    <t>Jul-2024</t>
  </si>
  <si>
    <t>Jul-2025</t>
  </si>
  <si>
    <t>Jun-2018</t>
  </si>
  <si>
    <t>Jun-2019</t>
  </si>
  <si>
    <t>Jun-2020</t>
  </si>
  <si>
    <t>Jun-2021</t>
  </si>
  <si>
    <t>Jun-2022</t>
  </si>
  <si>
    <t>Jun-2023</t>
  </si>
  <si>
    <t>Jun-2024</t>
  </si>
  <si>
    <t>Jun-2025</t>
  </si>
  <si>
    <t>Mar-2018</t>
  </si>
  <si>
    <t>Mar-2019</t>
  </si>
  <si>
    <t>Mar-2020</t>
  </si>
  <si>
    <t>Mar-2021</t>
  </si>
  <si>
    <t>Mar-2022</t>
  </si>
  <si>
    <t>Mar-2023</t>
  </si>
  <si>
    <t>Mar-2024</t>
  </si>
  <si>
    <t>Mar-2025</t>
  </si>
  <si>
    <t>Mar-2026</t>
  </si>
  <si>
    <t>May-2018</t>
  </si>
  <si>
    <t>May-2019</t>
  </si>
  <si>
    <t>May-2020</t>
  </si>
  <si>
    <t>May-2021</t>
  </si>
  <si>
    <t>May-2022</t>
  </si>
  <si>
    <t>May-2023</t>
  </si>
  <si>
    <t>May-2024</t>
  </si>
  <si>
    <t>May-2025</t>
  </si>
  <si>
    <t>Nov-2018</t>
  </si>
  <si>
    <t>Nov-2019</t>
  </si>
  <si>
    <t>Nov-2020</t>
  </si>
  <si>
    <t>Nov-2021</t>
  </si>
  <si>
    <t>Nov-2022</t>
  </si>
  <si>
    <t>Nov-2023</t>
  </si>
  <si>
    <t>Nov-2024</t>
  </si>
  <si>
    <t>Nov-2025</t>
  </si>
  <si>
    <t>Oct-2018</t>
  </si>
  <si>
    <t>Oct-2019</t>
  </si>
  <si>
    <t>Oct-2020</t>
  </si>
  <si>
    <t>Oct-2021</t>
  </si>
  <si>
    <t>Oct-2022</t>
  </si>
  <si>
    <t>Oct-2023</t>
  </si>
  <si>
    <t>Oct-2024</t>
  </si>
  <si>
    <t>Oct-2025</t>
  </si>
  <si>
    <t>Sep-2018</t>
  </si>
  <si>
    <t>Sep-2019</t>
  </si>
  <si>
    <t>Sep-2020</t>
  </si>
  <si>
    <t>Sep-2021</t>
  </si>
  <si>
    <t>Sep-2022</t>
  </si>
  <si>
    <t>Sep-2023</t>
  </si>
  <si>
    <t>Sep-2024</t>
  </si>
  <si>
    <t>Sep-2025</t>
  </si>
  <si>
    <t>Column Labels</t>
  </si>
  <si>
    <t>Individual</t>
  </si>
  <si>
    <t>Investor</t>
  </si>
  <si>
    <t>OFW</t>
  </si>
  <si>
    <t>Count of Property_Type</t>
  </si>
  <si>
    <t>Count of Quarters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</si>
</sst>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[$PHP]\ * #,##0.00_);_([$PHP]\ * \(#,##0.00\);_([$PHP]\ * &quot;-&quot;??_);_(@_)"/>
    <numFmt numFmtId="165" formatCode="[$PHP]\ #,##0.00"/>
    <numFmt numFmtId="166" formatCode="[$-409]d\-mmm\-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6" fontId="0" fillId="0" borderId="0" xfId="0" applyNumberFormat="1"/>
    <xf numFmtId="0" fontId="0" fillId="0" borderId="0" xfId="0" applyBorder="1"/>
    <xf numFmtId="165" fontId="0" fillId="0" borderId="0" xfId="0" applyNumberFormat="1" applyBorder="1" applyAlignment="1">
      <alignment horizontal="left"/>
    </xf>
    <xf numFmtId="0" fontId="0" fillId="0" borderId="0" xfId="0" pivotButton="1"/>
    <xf numFmtId="0" fontId="0" fillId="2" borderId="1" xfId="0" applyFont="1" applyFill="1" applyBorder="1" applyAlignment="1">
      <alignment horizontal="center"/>
    </xf>
    <xf numFmtId="166" fontId="0" fillId="2" borderId="1" xfId="0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0" xfId="0" applyFont="1" applyFill="1"/>
    <xf numFmtId="164" fontId="0" fillId="0" borderId="0" xfId="1" applyNumberFormat="1" applyFont="1"/>
    <xf numFmtId="9" fontId="0" fillId="0" borderId="0" xfId="2" applyFont="1"/>
    <xf numFmtId="0" fontId="0" fillId="0" borderId="0" xfId="0" applyNumberFormat="1"/>
    <xf numFmtId="9" fontId="2" fillId="0" borderId="0" xfId="2" applyFont="1" applyAlignment="1">
      <alignment horizontal="center"/>
    </xf>
    <xf numFmtId="0" fontId="2" fillId="3" borderId="0" xfId="0" applyFont="1" applyFill="1" applyAlignment="1">
      <alignment horizontal="center"/>
    </xf>
    <xf numFmtId="9" fontId="0" fillId="0" borderId="0" xfId="2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 indent="1"/>
    </xf>
  </cellXfs>
  <cellStyles count="3">
    <cellStyle name="Currency" xfId="1" builtinId="4"/>
    <cellStyle name="Normal" xfId="0" builtinId="0"/>
    <cellStyle name="Percent" xfId="2" builtinId="5"/>
  </cellStyles>
  <dxfs count="24">
    <dxf>
      <numFmt numFmtId="0" formatCode="General"/>
    </dxf>
    <dxf>
      <numFmt numFmtId="164" formatCode="_([$PHP]\ * #,##0.00_);_([$PHP]\ * \(#,##0.00\);_([$PHP]\ * &quot;-&quot;??_);_(@_)"/>
    </dxf>
    <dxf>
      <numFmt numFmtId="164" formatCode="_([$PHP]\ * #,##0.00_);_([$PHP]\ * \(#,##0.00\);_([$PHP]\ * &quot;-&quot;??_);_(@_)"/>
    </dxf>
    <dxf>
      <numFmt numFmtId="164" formatCode="_([$PHP]\ * #,##0.00_);_([$PHP]\ * \(#,##0.00\);_([$PHP]\ * &quot;-&quot;??_);_(@_)"/>
    </dxf>
    <dxf>
      <numFmt numFmtId="164" formatCode="_([$PHP]\ * #,##0.00_);_([$PHP]\ * \(#,##0.00\);_([$PHP]\ * &quot;-&quot;??_);_(@_)"/>
    </dxf>
    <dxf>
      <numFmt numFmtId="164" formatCode="_([$PHP]\ * #,##0.00_);_([$PHP]\ * \(#,##0.00\);_([$PHP]\ * &quot;-&quot;??_);_(@_)"/>
    </dxf>
    <dxf>
      <numFmt numFmtId="164" formatCode="_([$PHP]\ * #,##0.00_);_([$PHP]\ * \(#,##0.00\);_([$PHP]\ * &quot;-&quot;??_);_(@_)"/>
    </dxf>
    <dxf>
      <numFmt numFmtId="13" formatCode="0%"/>
      <alignment horizontal="right" vertical="bottom" textRotation="0" wrapText="0" indent="0" justifyLastLine="0" shrinkToFit="0" readingOrder="0"/>
    </dxf>
    <dxf>
      <numFmt numFmtId="19" formatCode="m/d/yyyy"/>
    </dxf>
    <dxf>
      <numFmt numFmtId="165" formatCode="[$PHP]\ #,##0.00"/>
    </dxf>
    <dxf>
      <numFmt numFmtId="0" formatCode="General"/>
    </dxf>
    <dxf>
      <numFmt numFmtId="165" formatCode="[$PHP]\ #,##0.00"/>
    </dxf>
    <dxf>
      <numFmt numFmtId="164" formatCode="_([$PHP]\ * #,##0.00_);_([$PHP]\ * \(#,##0.00\);_([$PHP]\ * &quot;-&quot;??_);_(@_)"/>
    </dxf>
    <dxf>
      <numFmt numFmtId="164" formatCode="_([$PHP]\ * #,##0.00_);_([$PHP]\ * \(#,##0.00\);_([$PHP]\ * &quot;-&quot;??_);_(@_)"/>
    </dxf>
    <dxf>
      <alignment horizontal="center" vertical="bottom" textRotation="0" wrapText="0" indent="0" justifyLastLine="0" shrinkToFit="0" readingOrder="0"/>
    </dxf>
    <dxf>
      <numFmt numFmtId="165" formatCode="[$PHP]\ #,##0.00"/>
      <alignment horizontal="left" vertical="bottom" textRotation="0" wrapText="0" indent="0" justifyLastLine="0" shrinkToFit="0" readingOrder="0"/>
    </dxf>
    <dxf>
      <numFmt numFmtId="164" formatCode="_([$PHP]\ * #,##0.00_);_([$PHP]\ * \(#,##0.00\);_([$PHP]\ * &quot;-&quot;??_);_(@_)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[$-409]d\-mmm\-yy;@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 Estate DAP.txt.xlsx]Sales_Property Type!PivotTable9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Buyer &amp; Property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'Sales_Property Type'!$B$3:$B$4</c:f>
              <c:strCache>
                <c:ptCount val="1"/>
                <c:pt idx="0">
                  <c:v>Corporation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'Sales_Property Type'!$A$5:$A$9</c:f>
              <c:strCache>
                <c:ptCount val="4"/>
                <c:pt idx="0">
                  <c:v>Commercial</c:v>
                </c:pt>
                <c:pt idx="1">
                  <c:v>Condo</c:v>
                </c:pt>
                <c:pt idx="2">
                  <c:v>House &amp; Lot</c:v>
                </c:pt>
                <c:pt idx="3">
                  <c:v>Land</c:v>
                </c:pt>
              </c:strCache>
            </c:strRef>
          </c:cat>
          <c:val>
            <c:numRef>
              <c:f>'Sales_Property Type'!$B$5:$B$9</c:f>
              <c:numCache>
                <c:formatCode>_([$PHP]\ * #,##0.00_);_([$PHP]\ * \(#,##0.00\);_([$PHP]\ * "-"??_);_(@_)</c:formatCode>
                <c:ptCount val="4"/>
                <c:pt idx="0">
                  <c:v>333886028</c:v>
                </c:pt>
                <c:pt idx="1">
                  <c:v>211583724</c:v>
                </c:pt>
                <c:pt idx="2">
                  <c:v>160725525</c:v>
                </c:pt>
                <c:pt idx="3">
                  <c:v>259468528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FA-46BE-A9C5-F381EED075F7}"/>
            </c:ext>
          </c:extLst>
        </c:ser>
        <c:ser>
          <c:idx val="1"/>
          <c:order val="1"/>
          <c:tx>
            <c:strRef>
              <c:f>'Sales_Property Type'!$C$3:$C$4</c:f>
              <c:strCache>
                <c:ptCount val="1"/>
                <c:pt idx="0">
                  <c:v>Individual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'Sales_Property Type'!$A$5:$A$9</c:f>
              <c:strCache>
                <c:ptCount val="4"/>
                <c:pt idx="0">
                  <c:v>Commercial</c:v>
                </c:pt>
                <c:pt idx="1">
                  <c:v>Condo</c:v>
                </c:pt>
                <c:pt idx="2">
                  <c:v>House &amp; Lot</c:v>
                </c:pt>
                <c:pt idx="3">
                  <c:v>Land</c:v>
                </c:pt>
              </c:strCache>
            </c:strRef>
          </c:cat>
          <c:val>
            <c:numRef>
              <c:f>'Sales_Property Type'!$C$5:$C$9</c:f>
              <c:numCache>
                <c:formatCode>_([$PHP]\ * #,##0.00_);_([$PHP]\ * \(#,##0.00\);_([$PHP]\ * "-"??_);_(@_)</c:formatCode>
                <c:ptCount val="4"/>
                <c:pt idx="0">
                  <c:v>188641336</c:v>
                </c:pt>
                <c:pt idx="1">
                  <c:v>182014312</c:v>
                </c:pt>
                <c:pt idx="2">
                  <c:v>270659851</c:v>
                </c:pt>
                <c:pt idx="3">
                  <c:v>203263452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FA-46BE-A9C5-F381EED075F7}"/>
            </c:ext>
          </c:extLst>
        </c:ser>
        <c:ser>
          <c:idx val="2"/>
          <c:order val="2"/>
          <c:tx>
            <c:strRef>
              <c:f>'Sales_Property Type'!$D$3:$D$4</c:f>
              <c:strCache>
                <c:ptCount val="1"/>
                <c:pt idx="0">
                  <c:v>Investor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'Sales_Property Type'!$A$5:$A$9</c:f>
              <c:strCache>
                <c:ptCount val="4"/>
                <c:pt idx="0">
                  <c:v>Commercial</c:v>
                </c:pt>
                <c:pt idx="1">
                  <c:v>Condo</c:v>
                </c:pt>
                <c:pt idx="2">
                  <c:v>House &amp; Lot</c:v>
                </c:pt>
                <c:pt idx="3">
                  <c:v>Land</c:v>
                </c:pt>
              </c:strCache>
            </c:strRef>
          </c:cat>
          <c:val>
            <c:numRef>
              <c:f>'Sales_Property Type'!$D$5:$D$9</c:f>
              <c:numCache>
                <c:formatCode>_([$PHP]\ * #,##0.00_);_([$PHP]\ * \(#,##0.00\);_([$PHP]\ * "-"??_);_(@_)</c:formatCode>
                <c:ptCount val="4"/>
                <c:pt idx="0">
                  <c:v>144314040</c:v>
                </c:pt>
                <c:pt idx="1">
                  <c:v>162900268</c:v>
                </c:pt>
                <c:pt idx="2">
                  <c:v>220199414</c:v>
                </c:pt>
                <c:pt idx="3">
                  <c:v>270315626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FA-46BE-A9C5-F381EED075F7}"/>
            </c:ext>
          </c:extLst>
        </c:ser>
        <c:ser>
          <c:idx val="3"/>
          <c:order val="3"/>
          <c:tx>
            <c:strRef>
              <c:f>'Sales_Property Type'!$E$3:$E$4</c:f>
              <c:strCache>
                <c:ptCount val="1"/>
                <c:pt idx="0">
                  <c:v>OFW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'Sales_Property Type'!$A$5:$A$9</c:f>
              <c:strCache>
                <c:ptCount val="4"/>
                <c:pt idx="0">
                  <c:v>Commercial</c:v>
                </c:pt>
                <c:pt idx="1">
                  <c:v>Condo</c:v>
                </c:pt>
                <c:pt idx="2">
                  <c:v>House &amp; Lot</c:v>
                </c:pt>
                <c:pt idx="3">
                  <c:v>Land</c:v>
                </c:pt>
              </c:strCache>
            </c:strRef>
          </c:cat>
          <c:val>
            <c:numRef>
              <c:f>'Sales_Property Type'!$E$5:$E$9</c:f>
              <c:numCache>
                <c:formatCode>_([$PHP]\ * #,##0.00_);_([$PHP]\ * \(#,##0.00\);_([$PHP]\ * "-"??_);_(@_)</c:formatCode>
                <c:ptCount val="4"/>
                <c:pt idx="0">
                  <c:v>282589682</c:v>
                </c:pt>
                <c:pt idx="1">
                  <c:v>243578081</c:v>
                </c:pt>
                <c:pt idx="2">
                  <c:v>255113294</c:v>
                </c:pt>
                <c:pt idx="3">
                  <c:v>211696171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FA-46BE-A9C5-F381EED07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05319760"/>
        <c:axId val="2060352848"/>
      </c:barChart>
      <c:catAx>
        <c:axId val="16053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352848"/>
        <c:crosses val="autoZero"/>
        <c:auto val="1"/>
        <c:lblAlgn val="ctr"/>
        <c:lblOffset val="100"/>
        <c:noMultiLvlLbl val="0"/>
      </c:catAx>
      <c:valAx>
        <c:axId val="206035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PHP]\ * #,##0.00_);_([$PHP]\ * \(#,##0.00\);_([$PHP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31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 Estate DAP.txt.xlsx]Sales_Location!PivotTable11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Location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Sales_Location!$B$4</c:f>
              <c:strCache>
                <c:ptCount val="1"/>
                <c:pt idx="0">
                  <c:v>Count of Property_Type</c:v>
                </c:pt>
              </c:strCache>
            </c:strRef>
          </c:tx>
          <c:explosion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C7-464B-9240-1554A653FD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BC7-464B-9240-1554A653FD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BC7-464B-9240-1554A653FD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BC7-464B-9240-1554A653FD3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BC7-464B-9240-1554A653FD3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BC7-464B-9240-1554A653FD3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BC7-464B-9240-1554A653FD3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BC7-464B-9240-1554A653FD3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BC7-464B-9240-1554A653FD3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BC7-464B-9240-1554A653FD3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BC7-464B-9240-1554A653FD3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BC7-464B-9240-1554A653FD3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BC7-464B-9240-1554A653FD3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CBC7-464B-9240-1554A653FD3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CBC7-464B-9240-1554A653FD3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CBC7-464B-9240-1554A653FD3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CBC7-464B-9240-1554A653FD3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CBC7-464B-9240-1554A653FD3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CBC7-464B-9240-1554A653FD36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CBC7-464B-9240-1554A653FD36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CBC7-464B-9240-1554A653FD36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CBC7-464B-9240-1554A653FD36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CBC7-464B-9240-1554A653FD36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CBC7-464B-9240-1554A653FD36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CBC7-464B-9240-1554A653FD36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CBC7-464B-9240-1554A653FD36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CBC7-464B-9240-1554A653FD36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CBC7-464B-9240-1554A653FD36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CBC7-464B-9240-1554A653FD36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CBC7-464B-9240-1554A653FD36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CBC7-464B-9240-1554A653FD36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CBC7-464B-9240-1554A653FD36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CBC7-464B-9240-1554A653FD36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CBC7-464B-9240-1554A653FD36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CBC7-464B-9240-1554A653FD36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CBC7-464B-9240-1554A653FD36}"/>
              </c:ext>
            </c:extLst>
          </c:dPt>
          <c:cat>
            <c:multiLvlStrRef>
              <c:f>Sales_Location!$A$5:$A$45</c:f>
              <c:multiLvlStrCache>
                <c:ptCount val="36"/>
                <c:lvl>
                  <c:pt idx="0">
                    <c:v>2018</c:v>
                  </c:pt>
                  <c:pt idx="1">
                    <c:v>2019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2018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2018</c:v>
                  </c:pt>
                  <c:pt idx="19">
                    <c:v>2019</c:v>
                  </c:pt>
                  <c:pt idx="20">
                    <c:v>2020</c:v>
                  </c:pt>
                  <c:pt idx="21">
                    <c:v>2021</c:v>
                  </c:pt>
                  <c:pt idx="22">
                    <c:v>2022</c:v>
                  </c:pt>
                  <c:pt idx="23">
                    <c:v>2023</c:v>
                  </c:pt>
                  <c:pt idx="24">
                    <c:v>2024</c:v>
                  </c:pt>
                  <c:pt idx="25">
                    <c:v>2025</c:v>
                  </c:pt>
                  <c:pt idx="26">
                    <c:v>2026</c:v>
                  </c:pt>
                  <c:pt idx="27">
                    <c:v>2018</c:v>
                  </c:pt>
                  <c:pt idx="28">
                    <c:v>2019</c:v>
                  </c:pt>
                  <c:pt idx="29">
                    <c:v>2020</c:v>
                  </c:pt>
                  <c:pt idx="30">
                    <c:v>2021</c:v>
                  </c:pt>
                  <c:pt idx="31">
                    <c:v>2022</c:v>
                  </c:pt>
                  <c:pt idx="32">
                    <c:v>2023</c:v>
                  </c:pt>
                  <c:pt idx="33">
                    <c:v>2024</c:v>
                  </c:pt>
                  <c:pt idx="34">
                    <c:v>2025</c:v>
                  </c:pt>
                  <c:pt idx="35">
                    <c:v>2026</c:v>
                  </c:pt>
                </c:lvl>
                <c:lvl>
                  <c:pt idx="0">
                    <c:v>Bulacan</c:v>
                  </c:pt>
                  <c:pt idx="9">
                    <c:v>Cavite</c:v>
                  </c:pt>
                  <c:pt idx="18">
                    <c:v>Laguna</c:v>
                  </c:pt>
                  <c:pt idx="27">
                    <c:v>Makati</c:v>
                  </c:pt>
                </c:lvl>
              </c:multiLvlStrCache>
            </c:multiLvlStrRef>
          </c:cat>
          <c:val>
            <c:numRef>
              <c:f>Sales_Location!$B$5:$B$45</c:f>
              <c:numCache>
                <c:formatCode>General</c:formatCode>
                <c:ptCount val="36"/>
                <c:pt idx="0">
                  <c:v>14</c:v>
                </c:pt>
                <c:pt idx="1">
                  <c:v>17</c:v>
                </c:pt>
                <c:pt idx="2">
                  <c:v>17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13</c:v>
                </c:pt>
                <c:pt idx="7">
                  <c:v>13</c:v>
                </c:pt>
                <c:pt idx="8">
                  <c:v>5</c:v>
                </c:pt>
                <c:pt idx="9">
                  <c:v>17</c:v>
                </c:pt>
                <c:pt idx="10">
                  <c:v>14</c:v>
                </c:pt>
                <c:pt idx="11">
                  <c:v>17</c:v>
                </c:pt>
                <c:pt idx="12">
                  <c:v>11</c:v>
                </c:pt>
                <c:pt idx="13">
                  <c:v>12</c:v>
                </c:pt>
                <c:pt idx="14">
                  <c:v>17</c:v>
                </c:pt>
                <c:pt idx="15">
                  <c:v>20</c:v>
                </c:pt>
                <c:pt idx="16">
                  <c:v>15</c:v>
                </c:pt>
                <c:pt idx="17">
                  <c:v>4</c:v>
                </c:pt>
                <c:pt idx="18">
                  <c:v>13</c:v>
                </c:pt>
                <c:pt idx="19">
                  <c:v>22</c:v>
                </c:pt>
                <c:pt idx="20">
                  <c:v>10</c:v>
                </c:pt>
                <c:pt idx="21">
                  <c:v>15</c:v>
                </c:pt>
                <c:pt idx="22">
                  <c:v>20</c:v>
                </c:pt>
                <c:pt idx="23">
                  <c:v>19</c:v>
                </c:pt>
                <c:pt idx="24">
                  <c:v>13</c:v>
                </c:pt>
                <c:pt idx="25">
                  <c:v>15</c:v>
                </c:pt>
                <c:pt idx="26">
                  <c:v>2</c:v>
                </c:pt>
                <c:pt idx="27">
                  <c:v>11</c:v>
                </c:pt>
                <c:pt idx="28">
                  <c:v>12</c:v>
                </c:pt>
                <c:pt idx="29">
                  <c:v>13</c:v>
                </c:pt>
                <c:pt idx="30">
                  <c:v>18</c:v>
                </c:pt>
                <c:pt idx="31">
                  <c:v>20</c:v>
                </c:pt>
                <c:pt idx="32">
                  <c:v>13</c:v>
                </c:pt>
                <c:pt idx="33">
                  <c:v>11</c:v>
                </c:pt>
                <c:pt idx="34">
                  <c:v>13</c:v>
                </c:pt>
                <c:pt idx="3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CBC7-464B-9240-1554A653FD36}"/>
            </c:ext>
          </c:extLst>
        </c:ser>
        <c:ser>
          <c:idx val="1"/>
          <c:order val="1"/>
          <c:tx>
            <c:strRef>
              <c:f>Sales_Location!$C$4</c:f>
              <c:strCache>
                <c:ptCount val="1"/>
                <c:pt idx="0">
                  <c:v>Count of Quarters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A-CBC7-464B-9240-1554A653FD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C-CBC7-464B-9240-1554A653FD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E-CBC7-464B-9240-1554A653FD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0-CBC7-464B-9240-1554A653FD3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2-CBC7-464B-9240-1554A653FD3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4-CBC7-464B-9240-1554A653FD3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6-CBC7-464B-9240-1554A653FD3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8-CBC7-464B-9240-1554A653FD3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A-CBC7-464B-9240-1554A653FD3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C-CBC7-464B-9240-1554A653FD3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E-CBC7-464B-9240-1554A653FD3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0-CBC7-464B-9240-1554A653FD3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2-CBC7-464B-9240-1554A653FD3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4-CBC7-464B-9240-1554A653FD3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6-CBC7-464B-9240-1554A653FD3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8-CBC7-464B-9240-1554A653FD3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A-CBC7-464B-9240-1554A653FD3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C-CBC7-464B-9240-1554A653FD3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E-CBC7-464B-9240-1554A653FD36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0-CBC7-464B-9240-1554A653FD36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2-CBC7-464B-9240-1554A653FD36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4-CBC7-464B-9240-1554A653FD36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6-CBC7-464B-9240-1554A653FD36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8-CBC7-464B-9240-1554A653FD36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A-CBC7-464B-9240-1554A653FD36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C-CBC7-464B-9240-1554A653FD36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E-CBC7-464B-9240-1554A653FD36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0-CBC7-464B-9240-1554A653FD36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2-CBC7-464B-9240-1554A653FD36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4-CBC7-464B-9240-1554A653FD36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6-CBC7-464B-9240-1554A653FD36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8-CBC7-464B-9240-1554A653FD36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A-CBC7-464B-9240-1554A653FD36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C-CBC7-464B-9240-1554A653FD36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E-CBC7-464B-9240-1554A653FD36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0-CBC7-464B-9240-1554A653FD36}"/>
              </c:ext>
            </c:extLst>
          </c:dPt>
          <c:cat>
            <c:multiLvlStrRef>
              <c:f>Sales_Location!$A$5:$A$45</c:f>
              <c:multiLvlStrCache>
                <c:ptCount val="36"/>
                <c:lvl>
                  <c:pt idx="0">
                    <c:v>2018</c:v>
                  </c:pt>
                  <c:pt idx="1">
                    <c:v>2019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2018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2018</c:v>
                  </c:pt>
                  <c:pt idx="19">
                    <c:v>2019</c:v>
                  </c:pt>
                  <c:pt idx="20">
                    <c:v>2020</c:v>
                  </c:pt>
                  <c:pt idx="21">
                    <c:v>2021</c:v>
                  </c:pt>
                  <c:pt idx="22">
                    <c:v>2022</c:v>
                  </c:pt>
                  <c:pt idx="23">
                    <c:v>2023</c:v>
                  </c:pt>
                  <c:pt idx="24">
                    <c:v>2024</c:v>
                  </c:pt>
                  <c:pt idx="25">
                    <c:v>2025</c:v>
                  </c:pt>
                  <c:pt idx="26">
                    <c:v>2026</c:v>
                  </c:pt>
                  <c:pt idx="27">
                    <c:v>2018</c:v>
                  </c:pt>
                  <c:pt idx="28">
                    <c:v>2019</c:v>
                  </c:pt>
                  <c:pt idx="29">
                    <c:v>2020</c:v>
                  </c:pt>
                  <c:pt idx="30">
                    <c:v>2021</c:v>
                  </c:pt>
                  <c:pt idx="31">
                    <c:v>2022</c:v>
                  </c:pt>
                  <c:pt idx="32">
                    <c:v>2023</c:v>
                  </c:pt>
                  <c:pt idx="33">
                    <c:v>2024</c:v>
                  </c:pt>
                  <c:pt idx="34">
                    <c:v>2025</c:v>
                  </c:pt>
                  <c:pt idx="35">
                    <c:v>2026</c:v>
                  </c:pt>
                </c:lvl>
                <c:lvl>
                  <c:pt idx="0">
                    <c:v>Bulacan</c:v>
                  </c:pt>
                  <c:pt idx="9">
                    <c:v>Cavite</c:v>
                  </c:pt>
                  <c:pt idx="18">
                    <c:v>Laguna</c:v>
                  </c:pt>
                  <c:pt idx="27">
                    <c:v>Makati</c:v>
                  </c:pt>
                </c:lvl>
              </c:multiLvlStrCache>
            </c:multiLvlStrRef>
          </c:cat>
          <c:val>
            <c:numRef>
              <c:f>Sales_Location!$C$5:$C$45</c:f>
              <c:numCache>
                <c:formatCode>General</c:formatCode>
                <c:ptCount val="36"/>
                <c:pt idx="0">
                  <c:v>14</c:v>
                </c:pt>
                <c:pt idx="1">
                  <c:v>17</c:v>
                </c:pt>
                <c:pt idx="2">
                  <c:v>17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13</c:v>
                </c:pt>
                <c:pt idx="7">
                  <c:v>13</c:v>
                </c:pt>
                <c:pt idx="8">
                  <c:v>5</c:v>
                </c:pt>
                <c:pt idx="9">
                  <c:v>17</c:v>
                </c:pt>
                <c:pt idx="10">
                  <c:v>14</c:v>
                </c:pt>
                <c:pt idx="11">
                  <c:v>17</c:v>
                </c:pt>
                <c:pt idx="12">
                  <c:v>11</c:v>
                </c:pt>
                <c:pt idx="13">
                  <c:v>12</c:v>
                </c:pt>
                <c:pt idx="14">
                  <c:v>17</c:v>
                </c:pt>
                <c:pt idx="15">
                  <c:v>20</c:v>
                </c:pt>
                <c:pt idx="16">
                  <c:v>15</c:v>
                </c:pt>
                <c:pt idx="17">
                  <c:v>4</c:v>
                </c:pt>
                <c:pt idx="18">
                  <c:v>13</c:v>
                </c:pt>
                <c:pt idx="19">
                  <c:v>22</c:v>
                </c:pt>
                <c:pt idx="20">
                  <c:v>10</c:v>
                </c:pt>
                <c:pt idx="21">
                  <c:v>15</c:v>
                </c:pt>
                <c:pt idx="22">
                  <c:v>20</c:v>
                </c:pt>
                <c:pt idx="23">
                  <c:v>19</c:v>
                </c:pt>
                <c:pt idx="24">
                  <c:v>13</c:v>
                </c:pt>
                <c:pt idx="25">
                  <c:v>15</c:v>
                </c:pt>
                <c:pt idx="26">
                  <c:v>2</c:v>
                </c:pt>
                <c:pt idx="27">
                  <c:v>11</c:v>
                </c:pt>
                <c:pt idx="28">
                  <c:v>12</c:v>
                </c:pt>
                <c:pt idx="29">
                  <c:v>13</c:v>
                </c:pt>
                <c:pt idx="30">
                  <c:v>18</c:v>
                </c:pt>
                <c:pt idx="31">
                  <c:v>20</c:v>
                </c:pt>
                <c:pt idx="32">
                  <c:v>13</c:v>
                </c:pt>
                <c:pt idx="33">
                  <c:v>11</c:v>
                </c:pt>
                <c:pt idx="34">
                  <c:v>13</c:v>
                </c:pt>
                <c:pt idx="3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1-CBC7-464B-9240-1554A653F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445896228037003"/>
          <c:y val="0.34114829396325452"/>
          <c:w val="0.10554101674333168"/>
          <c:h val="0.429231189851268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 Estate DAP.txt.xlsx]Top Performing Agents!PivotTable12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Performing</a:t>
            </a:r>
            <a:r>
              <a:rPr lang="en-US" baseline="0"/>
              <a:t> </a:t>
            </a:r>
            <a:r>
              <a:rPr lang="en-US"/>
              <a:t>Agents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'Top Performing Agents'!$B$3</c:f>
              <c:strCache>
                <c:ptCount val="1"/>
                <c:pt idx="0">
                  <c:v>Sum of Commission_PHP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Performing Agents'!$A$4:$A$13</c:f>
              <c:strCache>
                <c:ptCount val="9"/>
                <c:pt idx="0">
                  <c:v>Anna Mendoza</c:v>
                </c:pt>
                <c:pt idx="1">
                  <c:v>Daniel Cruz</c:v>
                </c:pt>
                <c:pt idx="2">
                  <c:v>John Dela Cruz</c:v>
                </c:pt>
                <c:pt idx="3">
                  <c:v>Joy Ramos</c:v>
                </c:pt>
                <c:pt idx="4">
                  <c:v>Mark Reyes</c:v>
                </c:pt>
                <c:pt idx="5">
                  <c:v>Mary Garcia</c:v>
                </c:pt>
                <c:pt idx="6">
                  <c:v>Michael Santos</c:v>
                </c:pt>
                <c:pt idx="7">
                  <c:v>Michelle Flores</c:v>
                </c:pt>
                <c:pt idx="8">
                  <c:v>Rachel Villanueva</c:v>
                </c:pt>
              </c:strCache>
            </c:strRef>
          </c:cat>
          <c:val>
            <c:numRef>
              <c:f>'Top Performing Agents'!$B$4:$B$13</c:f>
              <c:numCache>
                <c:formatCode>_([$PHP]\ * #,##0.00_);_([$PHP]\ * \(#,##0.00\);_([$PHP]\ * "-"??_);_(@_)</c:formatCode>
                <c:ptCount val="9"/>
                <c:pt idx="0">
                  <c:v>10247278.709999995</c:v>
                </c:pt>
                <c:pt idx="1">
                  <c:v>9443311.4400000013</c:v>
                </c:pt>
                <c:pt idx="2">
                  <c:v>12761131.889999999</c:v>
                </c:pt>
                <c:pt idx="3">
                  <c:v>12502979.310000004</c:v>
                </c:pt>
                <c:pt idx="4">
                  <c:v>11288600.039999997</c:v>
                </c:pt>
                <c:pt idx="5">
                  <c:v>12940905.51</c:v>
                </c:pt>
                <c:pt idx="6">
                  <c:v>13721153.399999997</c:v>
                </c:pt>
                <c:pt idx="7">
                  <c:v>12240064.680000002</c:v>
                </c:pt>
                <c:pt idx="8">
                  <c:v>12883054.979999997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6F-48C7-BF29-2126096594E5}"/>
            </c:ext>
          </c:extLst>
        </c:ser>
        <c:ser>
          <c:idx val="1"/>
          <c:order val="1"/>
          <c:tx>
            <c:strRef>
              <c:f>'Top Performing Agents'!$C$3</c:f>
              <c:strCache>
                <c:ptCount val="1"/>
                <c:pt idx="0">
                  <c:v>Sum of Sale_Price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'Top Performing Agents'!$A$4:$A$13</c:f>
              <c:strCache>
                <c:ptCount val="9"/>
                <c:pt idx="0">
                  <c:v>Anna Mendoza</c:v>
                </c:pt>
                <c:pt idx="1">
                  <c:v>Daniel Cruz</c:v>
                </c:pt>
                <c:pt idx="2">
                  <c:v>John Dela Cruz</c:v>
                </c:pt>
                <c:pt idx="3">
                  <c:v>Joy Ramos</c:v>
                </c:pt>
                <c:pt idx="4">
                  <c:v>Mark Reyes</c:v>
                </c:pt>
                <c:pt idx="5">
                  <c:v>Mary Garcia</c:v>
                </c:pt>
                <c:pt idx="6">
                  <c:v>Michael Santos</c:v>
                </c:pt>
                <c:pt idx="7">
                  <c:v>Michelle Flores</c:v>
                </c:pt>
                <c:pt idx="8">
                  <c:v>Rachel Villanueva</c:v>
                </c:pt>
              </c:strCache>
            </c:strRef>
          </c:cat>
          <c:val>
            <c:numRef>
              <c:f>'Top Performing Agents'!$C$4:$C$13</c:f>
              <c:numCache>
                <c:formatCode>_([$PHP]\ * #,##0.00_);_([$PHP]\ * \(#,##0.00\);_([$PHP]\ * "-"??_);_(@_)</c:formatCode>
                <c:ptCount val="9"/>
                <c:pt idx="0">
                  <c:v>341575957</c:v>
                </c:pt>
                <c:pt idx="1">
                  <c:v>314777048</c:v>
                </c:pt>
                <c:pt idx="2">
                  <c:v>425371063</c:v>
                </c:pt>
                <c:pt idx="3">
                  <c:v>416765977</c:v>
                </c:pt>
                <c:pt idx="4">
                  <c:v>376286668</c:v>
                </c:pt>
                <c:pt idx="5">
                  <c:v>431363517</c:v>
                </c:pt>
                <c:pt idx="6">
                  <c:v>457371780</c:v>
                </c:pt>
                <c:pt idx="7">
                  <c:v>408002156</c:v>
                </c:pt>
                <c:pt idx="8">
                  <c:v>429435166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6F-48C7-BF29-212609659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9250736"/>
        <c:axId val="459251152"/>
      </c:barChart>
      <c:catAx>
        <c:axId val="45925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251152"/>
        <c:crosses val="autoZero"/>
        <c:auto val="1"/>
        <c:lblAlgn val="ctr"/>
        <c:lblOffset val="100"/>
        <c:noMultiLvlLbl val="0"/>
      </c:catAx>
      <c:valAx>
        <c:axId val="45925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PHP]\ * #,##0.00_);_([$PHP]\ * \(#,##0.00\);_([$PHP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25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 Estate DAP.txt.xlsx]Sales_Property Type!PivotTable9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'Sales_Property Type'!$B$3:$B$4</c:f>
              <c:strCache>
                <c:ptCount val="1"/>
                <c:pt idx="0">
                  <c:v>Corporation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'Sales_Property Type'!$A$5:$A$9</c:f>
              <c:strCache>
                <c:ptCount val="4"/>
                <c:pt idx="0">
                  <c:v>Commercial</c:v>
                </c:pt>
                <c:pt idx="1">
                  <c:v>Condo</c:v>
                </c:pt>
                <c:pt idx="2">
                  <c:v>House &amp; Lot</c:v>
                </c:pt>
                <c:pt idx="3">
                  <c:v>Land</c:v>
                </c:pt>
              </c:strCache>
            </c:strRef>
          </c:cat>
          <c:val>
            <c:numRef>
              <c:f>'Sales_Property Type'!$B$5:$B$9</c:f>
              <c:numCache>
                <c:formatCode>_([$PHP]\ * #,##0.00_);_([$PHP]\ * \(#,##0.00\);_([$PHP]\ * "-"??_);_(@_)</c:formatCode>
                <c:ptCount val="4"/>
                <c:pt idx="0">
                  <c:v>333886028</c:v>
                </c:pt>
                <c:pt idx="1">
                  <c:v>211583724</c:v>
                </c:pt>
                <c:pt idx="2">
                  <c:v>160725525</c:v>
                </c:pt>
                <c:pt idx="3">
                  <c:v>259468528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BD-450D-8B35-71EEF1AB4C03}"/>
            </c:ext>
          </c:extLst>
        </c:ser>
        <c:ser>
          <c:idx val="1"/>
          <c:order val="1"/>
          <c:tx>
            <c:strRef>
              <c:f>'Sales_Property Type'!$C$3:$C$4</c:f>
              <c:strCache>
                <c:ptCount val="1"/>
                <c:pt idx="0">
                  <c:v>Individual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'Sales_Property Type'!$A$5:$A$9</c:f>
              <c:strCache>
                <c:ptCount val="4"/>
                <c:pt idx="0">
                  <c:v>Commercial</c:v>
                </c:pt>
                <c:pt idx="1">
                  <c:v>Condo</c:v>
                </c:pt>
                <c:pt idx="2">
                  <c:v>House &amp; Lot</c:v>
                </c:pt>
                <c:pt idx="3">
                  <c:v>Land</c:v>
                </c:pt>
              </c:strCache>
            </c:strRef>
          </c:cat>
          <c:val>
            <c:numRef>
              <c:f>'Sales_Property Type'!$C$5:$C$9</c:f>
              <c:numCache>
                <c:formatCode>_([$PHP]\ * #,##0.00_);_([$PHP]\ * \(#,##0.00\);_([$PHP]\ * "-"??_);_(@_)</c:formatCode>
                <c:ptCount val="4"/>
                <c:pt idx="0">
                  <c:v>188641336</c:v>
                </c:pt>
                <c:pt idx="1">
                  <c:v>182014312</c:v>
                </c:pt>
                <c:pt idx="2">
                  <c:v>270659851</c:v>
                </c:pt>
                <c:pt idx="3">
                  <c:v>203263452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BD-450D-8B35-71EEF1AB4C03}"/>
            </c:ext>
          </c:extLst>
        </c:ser>
        <c:ser>
          <c:idx val="2"/>
          <c:order val="2"/>
          <c:tx>
            <c:strRef>
              <c:f>'Sales_Property Type'!$D$3:$D$4</c:f>
              <c:strCache>
                <c:ptCount val="1"/>
                <c:pt idx="0">
                  <c:v>Investor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'Sales_Property Type'!$A$5:$A$9</c:f>
              <c:strCache>
                <c:ptCount val="4"/>
                <c:pt idx="0">
                  <c:v>Commercial</c:v>
                </c:pt>
                <c:pt idx="1">
                  <c:v>Condo</c:v>
                </c:pt>
                <c:pt idx="2">
                  <c:v>House &amp; Lot</c:v>
                </c:pt>
                <c:pt idx="3">
                  <c:v>Land</c:v>
                </c:pt>
              </c:strCache>
            </c:strRef>
          </c:cat>
          <c:val>
            <c:numRef>
              <c:f>'Sales_Property Type'!$D$5:$D$9</c:f>
              <c:numCache>
                <c:formatCode>_([$PHP]\ * #,##0.00_);_([$PHP]\ * \(#,##0.00\);_([$PHP]\ * "-"??_);_(@_)</c:formatCode>
                <c:ptCount val="4"/>
                <c:pt idx="0">
                  <c:v>144314040</c:v>
                </c:pt>
                <c:pt idx="1">
                  <c:v>162900268</c:v>
                </c:pt>
                <c:pt idx="2">
                  <c:v>220199414</c:v>
                </c:pt>
                <c:pt idx="3">
                  <c:v>270315626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BD-450D-8B35-71EEF1AB4C03}"/>
            </c:ext>
          </c:extLst>
        </c:ser>
        <c:ser>
          <c:idx val="3"/>
          <c:order val="3"/>
          <c:tx>
            <c:strRef>
              <c:f>'Sales_Property Type'!$E$3:$E$4</c:f>
              <c:strCache>
                <c:ptCount val="1"/>
                <c:pt idx="0">
                  <c:v>OFW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'Sales_Property Type'!$A$5:$A$9</c:f>
              <c:strCache>
                <c:ptCount val="4"/>
                <c:pt idx="0">
                  <c:v>Commercial</c:v>
                </c:pt>
                <c:pt idx="1">
                  <c:v>Condo</c:v>
                </c:pt>
                <c:pt idx="2">
                  <c:v>House &amp; Lot</c:v>
                </c:pt>
                <c:pt idx="3">
                  <c:v>Land</c:v>
                </c:pt>
              </c:strCache>
            </c:strRef>
          </c:cat>
          <c:val>
            <c:numRef>
              <c:f>'Sales_Property Type'!$E$5:$E$9</c:f>
              <c:numCache>
                <c:formatCode>_([$PHP]\ * #,##0.00_);_([$PHP]\ * \(#,##0.00\);_([$PHP]\ * "-"??_);_(@_)</c:formatCode>
                <c:ptCount val="4"/>
                <c:pt idx="0">
                  <c:v>282589682</c:v>
                </c:pt>
                <c:pt idx="1">
                  <c:v>243578081</c:v>
                </c:pt>
                <c:pt idx="2">
                  <c:v>255113294</c:v>
                </c:pt>
                <c:pt idx="3">
                  <c:v>211696171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BD-450D-8B35-71EEF1AB4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05319760"/>
        <c:axId val="2060352848"/>
      </c:barChart>
      <c:catAx>
        <c:axId val="16053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352848"/>
        <c:crosses val="autoZero"/>
        <c:auto val="1"/>
        <c:lblAlgn val="ctr"/>
        <c:lblOffset val="100"/>
        <c:noMultiLvlLbl val="0"/>
      </c:catAx>
      <c:valAx>
        <c:axId val="206035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PHP]\ * #,##0.00_);_([$PHP]\ * \(#,##0.00\);_([$PHP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31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 Estate DAP.txt.xlsx]Sales_Location!PivotTable11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Location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Sales_Location!$B$4</c:f>
              <c:strCache>
                <c:ptCount val="1"/>
                <c:pt idx="0">
                  <c:v>Count of Property_Type</c:v>
                </c:pt>
              </c:strCache>
            </c:strRef>
          </c:tx>
          <c:explosion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Sales_Location!$A$5:$A$45</c:f>
              <c:multiLvlStrCache>
                <c:ptCount val="36"/>
                <c:lvl>
                  <c:pt idx="0">
                    <c:v>2018</c:v>
                  </c:pt>
                  <c:pt idx="1">
                    <c:v>2019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2018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2018</c:v>
                  </c:pt>
                  <c:pt idx="19">
                    <c:v>2019</c:v>
                  </c:pt>
                  <c:pt idx="20">
                    <c:v>2020</c:v>
                  </c:pt>
                  <c:pt idx="21">
                    <c:v>2021</c:v>
                  </c:pt>
                  <c:pt idx="22">
                    <c:v>2022</c:v>
                  </c:pt>
                  <c:pt idx="23">
                    <c:v>2023</c:v>
                  </c:pt>
                  <c:pt idx="24">
                    <c:v>2024</c:v>
                  </c:pt>
                  <c:pt idx="25">
                    <c:v>2025</c:v>
                  </c:pt>
                  <c:pt idx="26">
                    <c:v>2026</c:v>
                  </c:pt>
                  <c:pt idx="27">
                    <c:v>2018</c:v>
                  </c:pt>
                  <c:pt idx="28">
                    <c:v>2019</c:v>
                  </c:pt>
                  <c:pt idx="29">
                    <c:v>2020</c:v>
                  </c:pt>
                  <c:pt idx="30">
                    <c:v>2021</c:v>
                  </c:pt>
                  <c:pt idx="31">
                    <c:v>2022</c:v>
                  </c:pt>
                  <c:pt idx="32">
                    <c:v>2023</c:v>
                  </c:pt>
                  <c:pt idx="33">
                    <c:v>2024</c:v>
                  </c:pt>
                  <c:pt idx="34">
                    <c:v>2025</c:v>
                  </c:pt>
                  <c:pt idx="35">
                    <c:v>2026</c:v>
                  </c:pt>
                </c:lvl>
                <c:lvl>
                  <c:pt idx="0">
                    <c:v>Bulacan</c:v>
                  </c:pt>
                  <c:pt idx="9">
                    <c:v>Cavite</c:v>
                  </c:pt>
                  <c:pt idx="18">
                    <c:v>Laguna</c:v>
                  </c:pt>
                  <c:pt idx="27">
                    <c:v>Makati</c:v>
                  </c:pt>
                </c:lvl>
              </c:multiLvlStrCache>
            </c:multiLvlStrRef>
          </c:cat>
          <c:val>
            <c:numRef>
              <c:f>Sales_Location!$B$5:$B$45</c:f>
              <c:numCache>
                <c:formatCode>General</c:formatCode>
                <c:ptCount val="36"/>
                <c:pt idx="0">
                  <c:v>14</c:v>
                </c:pt>
                <c:pt idx="1">
                  <c:v>17</c:v>
                </c:pt>
                <c:pt idx="2">
                  <c:v>17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13</c:v>
                </c:pt>
                <c:pt idx="7">
                  <c:v>13</c:v>
                </c:pt>
                <c:pt idx="8">
                  <c:v>5</c:v>
                </c:pt>
                <c:pt idx="9">
                  <c:v>17</c:v>
                </c:pt>
                <c:pt idx="10">
                  <c:v>14</c:v>
                </c:pt>
                <c:pt idx="11">
                  <c:v>17</c:v>
                </c:pt>
                <c:pt idx="12">
                  <c:v>11</c:v>
                </c:pt>
                <c:pt idx="13">
                  <c:v>12</c:v>
                </c:pt>
                <c:pt idx="14">
                  <c:v>17</c:v>
                </c:pt>
                <c:pt idx="15">
                  <c:v>20</c:v>
                </c:pt>
                <c:pt idx="16">
                  <c:v>15</c:v>
                </c:pt>
                <c:pt idx="17">
                  <c:v>4</c:v>
                </c:pt>
                <c:pt idx="18">
                  <c:v>13</c:v>
                </c:pt>
                <c:pt idx="19">
                  <c:v>22</c:v>
                </c:pt>
                <c:pt idx="20">
                  <c:v>10</c:v>
                </c:pt>
                <c:pt idx="21">
                  <c:v>15</c:v>
                </c:pt>
                <c:pt idx="22">
                  <c:v>20</c:v>
                </c:pt>
                <c:pt idx="23">
                  <c:v>19</c:v>
                </c:pt>
                <c:pt idx="24">
                  <c:v>13</c:v>
                </c:pt>
                <c:pt idx="25">
                  <c:v>15</c:v>
                </c:pt>
                <c:pt idx="26">
                  <c:v>2</c:v>
                </c:pt>
                <c:pt idx="27">
                  <c:v>11</c:v>
                </c:pt>
                <c:pt idx="28">
                  <c:v>12</c:v>
                </c:pt>
                <c:pt idx="29">
                  <c:v>13</c:v>
                </c:pt>
                <c:pt idx="30">
                  <c:v>18</c:v>
                </c:pt>
                <c:pt idx="31">
                  <c:v>20</c:v>
                </c:pt>
                <c:pt idx="32">
                  <c:v>13</c:v>
                </c:pt>
                <c:pt idx="33">
                  <c:v>11</c:v>
                </c:pt>
                <c:pt idx="34">
                  <c:v>13</c:v>
                </c:pt>
                <c:pt idx="3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9-9533-440B-93E2-4748520AD0D9}"/>
            </c:ext>
          </c:extLst>
        </c:ser>
        <c:ser>
          <c:idx val="1"/>
          <c:order val="1"/>
          <c:tx>
            <c:strRef>
              <c:f>Sales_Location!$C$4</c:f>
              <c:strCache>
                <c:ptCount val="1"/>
                <c:pt idx="0">
                  <c:v>Count of Quarters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Sales_Location!$A$5:$A$45</c:f>
              <c:multiLvlStrCache>
                <c:ptCount val="36"/>
                <c:lvl>
                  <c:pt idx="0">
                    <c:v>2018</c:v>
                  </c:pt>
                  <c:pt idx="1">
                    <c:v>2019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2018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2018</c:v>
                  </c:pt>
                  <c:pt idx="19">
                    <c:v>2019</c:v>
                  </c:pt>
                  <c:pt idx="20">
                    <c:v>2020</c:v>
                  </c:pt>
                  <c:pt idx="21">
                    <c:v>2021</c:v>
                  </c:pt>
                  <c:pt idx="22">
                    <c:v>2022</c:v>
                  </c:pt>
                  <c:pt idx="23">
                    <c:v>2023</c:v>
                  </c:pt>
                  <c:pt idx="24">
                    <c:v>2024</c:v>
                  </c:pt>
                  <c:pt idx="25">
                    <c:v>2025</c:v>
                  </c:pt>
                  <c:pt idx="26">
                    <c:v>2026</c:v>
                  </c:pt>
                  <c:pt idx="27">
                    <c:v>2018</c:v>
                  </c:pt>
                  <c:pt idx="28">
                    <c:v>2019</c:v>
                  </c:pt>
                  <c:pt idx="29">
                    <c:v>2020</c:v>
                  </c:pt>
                  <c:pt idx="30">
                    <c:v>2021</c:v>
                  </c:pt>
                  <c:pt idx="31">
                    <c:v>2022</c:v>
                  </c:pt>
                  <c:pt idx="32">
                    <c:v>2023</c:v>
                  </c:pt>
                  <c:pt idx="33">
                    <c:v>2024</c:v>
                  </c:pt>
                  <c:pt idx="34">
                    <c:v>2025</c:v>
                  </c:pt>
                  <c:pt idx="35">
                    <c:v>2026</c:v>
                  </c:pt>
                </c:lvl>
                <c:lvl>
                  <c:pt idx="0">
                    <c:v>Bulacan</c:v>
                  </c:pt>
                  <c:pt idx="9">
                    <c:v>Cavite</c:v>
                  </c:pt>
                  <c:pt idx="18">
                    <c:v>Laguna</c:v>
                  </c:pt>
                  <c:pt idx="27">
                    <c:v>Makati</c:v>
                  </c:pt>
                </c:lvl>
              </c:multiLvlStrCache>
            </c:multiLvlStrRef>
          </c:cat>
          <c:val>
            <c:numRef>
              <c:f>Sales_Location!$C$5:$C$45</c:f>
              <c:numCache>
                <c:formatCode>General</c:formatCode>
                <c:ptCount val="36"/>
                <c:pt idx="0">
                  <c:v>14</c:v>
                </c:pt>
                <c:pt idx="1">
                  <c:v>17</c:v>
                </c:pt>
                <c:pt idx="2">
                  <c:v>17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13</c:v>
                </c:pt>
                <c:pt idx="7">
                  <c:v>13</c:v>
                </c:pt>
                <c:pt idx="8">
                  <c:v>5</c:v>
                </c:pt>
                <c:pt idx="9">
                  <c:v>17</c:v>
                </c:pt>
                <c:pt idx="10">
                  <c:v>14</c:v>
                </c:pt>
                <c:pt idx="11">
                  <c:v>17</c:v>
                </c:pt>
                <c:pt idx="12">
                  <c:v>11</c:v>
                </c:pt>
                <c:pt idx="13">
                  <c:v>12</c:v>
                </c:pt>
                <c:pt idx="14">
                  <c:v>17</c:v>
                </c:pt>
                <c:pt idx="15">
                  <c:v>20</c:v>
                </c:pt>
                <c:pt idx="16">
                  <c:v>15</c:v>
                </c:pt>
                <c:pt idx="17">
                  <c:v>4</c:v>
                </c:pt>
                <c:pt idx="18">
                  <c:v>13</c:v>
                </c:pt>
                <c:pt idx="19">
                  <c:v>22</c:v>
                </c:pt>
                <c:pt idx="20">
                  <c:v>10</c:v>
                </c:pt>
                <c:pt idx="21">
                  <c:v>15</c:v>
                </c:pt>
                <c:pt idx="22">
                  <c:v>20</c:v>
                </c:pt>
                <c:pt idx="23">
                  <c:v>19</c:v>
                </c:pt>
                <c:pt idx="24">
                  <c:v>13</c:v>
                </c:pt>
                <c:pt idx="25">
                  <c:v>15</c:v>
                </c:pt>
                <c:pt idx="26">
                  <c:v>2</c:v>
                </c:pt>
                <c:pt idx="27">
                  <c:v>11</c:v>
                </c:pt>
                <c:pt idx="28">
                  <c:v>12</c:v>
                </c:pt>
                <c:pt idx="29">
                  <c:v>13</c:v>
                </c:pt>
                <c:pt idx="30">
                  <c:v>18</c:v>
                </c:pt>
                <c:pt idx="31">
                  <c:v>20</c:v>
                </c:pt>
                <c:pt idx="32">
                  <c:v>13</c:v>
                </c:pt>
                <c:pt idx="33">
                  <c:v>11</c:v>
                </c:pt>
                <c:pt idx="34">
                  <c:v>13</c:v>
                </c:pt>
                <c:pt idx="3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C-9533-440B-93E2-4748520AD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445896228037003"/>
          <c:y val="0.34114829396325452"/>
          <c:w val="0.10554101674333168"/>
          <c:h val="0.429231189851268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 Estate DAP.txt.xlsx]Top Performing Agents!PivotTable12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'Top Performing Agents'!$B$3</c:f>
              <c:strCache>
                <c:ptCount val="1"/>
                <c:pt idx="0">
                  <c:v>Sum of Commission_PHP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Performing Agents'!$A$4:$A$13</c:f>
              <c:strCache>
                <c:ptCount val="9"/>
                <c:pt idx="0">
                  <c:v>Anna Mendoza</c:v>
                </c:pt>
                <c:pt idx="1">
                  <c:v>Daniel Cruz</c:v>
                </c:pt>
                <c:pt idx="2">
                  <c:v>John Dela Cruz</c:v>
                </c:pt>
                <c:pt idx="3">
                  <c:v>Joy Ramos</c:v>
                </c:pt>
                <c:pt idx="4">
                  <c:v>Mark Reyes</c:v>
                </c:pt>
                <c:pt idx="5">
                  <c:v>Mary Garcia</c:v>
                </c:pt>
                <c:pt idx="6">
                  <c:v>Michael Santos</c:v>
                </c:pt>
                <c:pt idx="7">
                  <c:v>Michelle Flores</c:v>
                </c:pt>
                <c:pt idx="8">
                  <c:v>Rachel Villanueva</c:v>
                </c:pt>
              </c:strCache>
            </c:strRef>
          </c:cat>
          <c:val>
            <c:numRef>
              <c:f>'Top Performing Agents'!$B$4:$B$13</c:f>
              <c:numCache>
                <c:formatCode>_([$PHP]\ * #,##0.00_);_([$PHP]\ * \(#,##0.00\);_([$PHP]\ * "-"??_);_(@_)</c:formatCode>
                <c:ptCount val="9"/>
                <c:pt idx="0">
                  <c:v>10247278.709999995</c:v>
                </c:pt>
                <c:pt idx="1">
                  <c:v>9443311.4400000013</c:v>
                </c:pt>
                <c:pt idx="2">
                  <c:v>12761131.889999999</c:v>
                </c:pt>
                <c:pt idx="3">
                  <c:v>12502979.310000004</c:v>
                </c:pt>
                <c:pt idx="4">
                  <c:v>11288600.039999997</c:v>
                </c:pt>
                <c:pt idx="5">
                  <c:v>12940905.51</c:v>
                </c:pt>
                <c:pt idx="6">
                  <c:v>13721153.399999997</c:v>
                </c:pt>
                <c:pt idx="7">
                  <c:v>12240064.680000002</c:v>
                </c:pt>
                <c:pt idx="8">
                  <c:v>12883054.979999997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2E-47A1-A18C-9D1331DDD911}"/>
            </c:ext>
          </c:extLst>
        </c:ser>
        <c:ser>
          <c:idx val="1"/>
          <c:order val="1"/>
          <c:tx>
            <c:strRef>
              <c:f>'Top Performing Agents'!$C$3</c:f>
              <c:strCache>
                <c:ptCount val="1"/>
                <c:pt idx="0">
                  <c:v>Sum of Sale_Price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'Top Performing Agents'!$A$4:$A$13</c:f>
              <c:strCache>
                <c:ptCount val="9"/>
                <c:pt idx="0">
                  <c:v>Anna Mendoza</c:v>
                </c:pt>
                <c:pt idx="1">
                  <c:v>Daniel Cruz</c:v>
                </c:pt>
                <c:pt idx="2">
                  <c:v>John Dela Cruz</c:v>
                </c:pt>
                <c:pt idx="3">
                  <c:v>Joy Ramos</c:v>
                </c:pt>
                <c:pt idx="4">
                  <c:v>Mark Reyes</c:v>
                </c:pt>
                <c:pt idx="5">
                  <c:v>Mary Garcia</c:v>
                </c:pt>
                <c:pt idx="6">
                  <c:v>Michael Santos</c:v>
                </c:pt>
                <c:pt idx="7">
                  <c:v>Michelle Flores</c:v>
                </c:pt>
                <c:pt idx="8">
                  <c:v>Rachel Villanueva</c:v>
                </c:pt>
              </c:strCache>
            </c:strRef>
          </c:cat>
          <c:val>
            <c:numRef>
              <c:f>'Top Performing Agents'!$C$4:$C$13</c:f>
              <c:numCache>
                <c:formatCode>_([$PHP]\ * #,##0.00_);_([$PHP]\ * \(#,##0.00\);_([$PHP]\ * "-"??_);_(@_)</c:formatCode>
                <c:ptCount val="9"/>
                <c:pt idx="0">
                  <c:v>341575957</c:v>
                </c:pt>
                <c:pt idx="1">
                  <c:v>314777048</c:v>
                </c:pt>
                <c:pt idx="2">
                  <c:v>425371063</c:v>
                </c:pt>
                <c:pt idx="3">
                  <c:v>416765977</c:v>
                </c:pt>
                <c:pt idx="4">
                  <c:v>376286668</c:v>
                </c:pt>
                <c:pt idx="5">
                  <c:v>431363517</c:v>
                </c:pt>
                <c:pt idx="6">
                  <c:v>457371780</c:v>
                </c:pt>
                <c:pt idx="7">
                  <c:v>408002156</c:v>
                </c:pt>
                <c:pt idx="8">
                  <c:v>429435166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2E-47A1-A18C-9D1331DDD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9250736"/>
        <c:axId val="459251152"/>
      </c:barChart>
      <c:catAx>
        <c:axId val="45925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251152"/>
        <c:crosses val="autoZero"/>
        <c:auto val="1"/>
        <c:lblAlgn val="ctr"/>
        <c:lblOffset val="100"/>
        <c:noMultiLvlLbl val="0"/>
      </c:catAx>
      <c:valAx>
        <c:axId val="45925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PHP]\ * #,##0.00_);_([$PHP]\ * \(#,##0.00\);_([$PHP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25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11</xdr:row>
      <xdr:rowOff>175260</xdr:rowOff>
    </xdr:from>
    <xdr:to>
      <xdr:col>10</xdr:col>
      <xdr:colOff>342900</xdr:colOff>
      <xdr:row>26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1A8F48-16A8-4915-A991-66FAA76F8C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7620</xdr:rowOff>
    </xdr:from>
    <xdr:to>
      <xdr:col>11</xdr:col>
      <xdr:colOff>15240</xdr:colOff>
      <xdr:row>10</xdr:row>
      <xdr:rowOff>30345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CE3E8A-B0BD-4C66-8AF0-5BB430B88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20"/>
          <a:ext cx="6720840" cy="1851525"/>
        </a:xfrm>
        <a:prstGeom prst="rect">
          <a:avLst/>
        </a:prstGeom>
      </xdr:spPr>
    </xdr:pic>
    <xdr:clientData/>
  </xdr:twoCellAnchor>
  <xdr:twoCellAnchor>
    <xdr:from>
      <xdr:col>10</xdr:col>
      <xdr:colOff>388620</xdr:colOff>
      <xdr:row>11</xdr:row>
      <xdr:rowOff>129540</xdr:rowOff>
    </xdr:from>
    <xdr:to>
      <xdr:col>19</xdr:col>
      <xdr:colOff>106680</xdr:colOff>
      <xdr:row>26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CCF8A5-08F8-4021-B200-061189F599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7</xdr:col>
      <xdr:colOff>304800</xdr:colOff>
      <xdr:row>43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C23E9A-48BE-4475-A153-2946E182D5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179070</xdr:rowOff>
    </xdr:from>
    <xdr:to>
      <xdr:col>4</xdr:col>
      <xdr:colOff>1211580</xdr:colOff>
      <xdr:row>25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D53A82-2BBA-41D1-9822-B514C5A480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502920</xdr:colOff>
      <xdr:row>8</xdr:row>
      <xdr:rowOff>95250</xdr:rowOff>
    </xdr:from>
    <xdr:to>
      <xdr:col>8</xdr:col>
      <xdr:colOff>335280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527583-B98C-4B07-A29D-DFEEE8343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510540</xdr:colOff>
      <xdr:row>5</xdr:row>
      <xdr:rowOff>179070</xdr:rowOff>
    </xdr:from>
    <xdr:to>
      <xdr:col>11</xdr:col>
      <xdr:colOff>205740</xdr:colOff>
      <xdr:row>20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2052DC-6D05-4E10-9394-7DFFFAA8CD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 S E R - P C" refreshedDate="46136.550907407407" createdVersion="7" refreshedVersion="7" minRefreshableVersion="3" recordCount="500" xr:uid="{94ADCEE5-D63F-46D0-86D1-6E70FD6E501E}">
  <cacheSource type="worksheet">
    <worksheetSource name="Table1"/>
  </cacheSource>
  <cacheFields count="24">
    <cacheField name="Transaction_ID" numFmtId="0">
      <sharedItems count="500">
        <s v="TX-00002"/>
        <s v="TX-00003"/>
        <s v="TX-00004"/>
        <s v="TX-00005"/>
        <s v="TX-00006"/>
        <s v="TX-00007"/>
        <s v="TX-00008"/>
        <s v="TX-00009"/>
        <s v="TX-00010"/>
        <s v="TX-00011"/>
        <s v="TX-00012"/>
        <s v="TX-00013"/>
        <s v="TX-00014"/>
        <s v="TX-00015"/>
        <s v="TX-00016"/>
        <s v="TX-00017"/>
        <s v="TX-00018"/>
        <s v="TX-00019"/>
        <s v="TX-00020"/>
        <s v="TX-00021"/>
        <s v="TX-00022"/>
        <s v="TX-00023"/>
        <s v="TX-00024"/>
        <s v="TX-00025"/>
        <s v="TX-00026"/>
        <s v="TX-00027"/>
        <s v="TX-00028"/>
        <s v="TX-00029"/>
        <s v="TX-00030"/>
        <s v="TX-00031"/>
        <s v="TX-00032"/>
        <s v="TX-00033"/>
        <s v="TX-00034"/>
        <s v="TX-00035"/>
        <s v="TX-00036"/>
        <s v="TX-00037"/>
        <s v="TX-00038"/>
        <s v="TX-00039"/>
        <s v="TX-00040"/>
        <s v="TX-00041"/>
        <s v="TX-00042"/>
        <s v="TX-00043"/>
        <s v="TX-00044"/>
        <s v="TX-00045"/>
        <s v="TX-00046"/>
        <s v="TX-00047"/>
        <s v="TX-00048"/>
        <s v="TX-00049"/>
        <s v="TX-00050"/>
        <s v="TX-00051"/>
        <s v="TX-00052"/>
        <s v="TX-00053"/>
        <s v="TX-00054"/>
        <s v="TX-00055"/>
        <s v="TX-00056"/>
        <s v="TX-00057"/>
        <s v="TX-00058"/>
        <s v="TX-00059"/>
        <s v="TX-00060"/>
        <s v="TX-00061"/>
        <s v="TX-00062"/>
        <s v="TX-00063"/>
        <s v="TX-00064"/>
        <s v="TX-00065"/>
        <s v="TX-00066"/>
        <s v="TX-00067"/>
        <s v="TX-00068"/>
        <s v="TX-00069"/>
        <s v="TX-00070"/>
        <s v="TX-00071"/>
        <s v="TX-00072"/>
        <s v="TX-00073"/>
        <s v="TX-00074"/>
        <s v="TX-00075"/>
        <s v="TX-00076"/>
        <s v="TX-00077"/>
        <s v="TX-00078"/>
        <s v="TX-00079"/>
        <s v="TX-00080"/>
        <s v="TX-00081"/>
        <s v="TX-00082"/>
        <s v="TX-00083"/>
        <s v="TX-00084"/>
        <s v="TX-00085"/>
        <s v="TX-00086"/>
        <s v="TX-00087"/>
        <s v="TX-00088"/>
        <s v="TX-00089"/>
        <s v="TX-00090"/>
        <s v="TX-00091"/>
        <s v="TX-00092"/>
        <s v="TX-00093"/>
        <s v="TX-00094"/>
        <s v="TX-00095"/>
        <s v="TX-00096"/>
        <s v="TX-00097"/>
        <s v="TX-00098"/>
        <s v="TX-00099"/>
        <s v="TX-00100"/>
        <s v="TX-00101"/>
        <s v="TX-00102"/>
        <s v="TX-00103"/>
        <s v="TX-00104"/>
        <s v="TX-00105"/>
        <s v="TX-00106"/>
        <s v="TX-00107"/>
        <s v="TX-00108"/>
        <s v="TX-00109"/>
        <s v="TX-00110"/>
        <s v="TX-00111"/>
        <s v="TX-00112"/>
        <s v="TX-00113"/>
        <s v="TX-00114"/>
        <s v="TX-00115"/>
        <s v="TX-00116"/>
        <s v="TX-00117"/>
        <s v="TX-00118"/>
        <s v="TX-00119"/>
        <s v="TX-00120"/>
        <s v="TX-00121"/>
        <s v="TX-00122"/>
        <s v="TX-00123"/>
        <s v="TX-00124"/>
        <s v="TX-00125"/>
        <s v="TX-00126"/>
        <s v="TX-00127"/>
        <s v="TX-00128"/>
        <s v="TX-00129"/>
        <s v="TX-00130"/>
        <s v="TX-00131"/>
        <s v="TX-00132"/>
        <s v="TX-00133"/>
        <s v="TX-00134"/>
        <s v="TX-00135"/>
        <s v="TX-00136"/>
        <s v="TX-00137"/>
        <s v="TX-00138"/>
        <s v="TX-00139"/>
        <s v="TX-00140"/>
        <s v="TX-00141"/>
        <s v="TX-00142"/>
        <s v="TX-00143"/>
        <s v="TX-00144"/>
        <s v="TX-00145"/>
        <s v="TX-00146"/>
        <s v="TX-00147"/>
        <s v="TX-00148"/>
        <s v="TX-00149"/>
        <s v="TX-00150"/>
        <s v="TX-00151"/>
        <s v="TX-00152"/>
        <s v="TX-00153"/>
        <s v="TX-00154"/>
        <s v="TX-00155"/>
        <s v="TX-00156"/>
        <s v="TX-00157"/>
        <s v="TX-00158"/>
        <s v="TX-00159"/>
        <s v="TX-00160"/>
        <s v="TX-00161"/>
        <s v="TX-00162"/>
        <s v="TX-00163"/>
        <s v="TX-00164"/>
        <s v="TX-00165"/>
        <s v="TX-00166"/>
        <s v="TX-00167"/>
        <s v="TX-00168"/>
        <s v="TX-00169"/>
        <s v="TX-00170"/>
        <s v="TX-00171"/>
        <s v="TX-00172"/>
        <s v="TX-00173"/>
        <s v="TX-00174"/>
        <s v="TX-00175"/>
        <s v="TX-00176"/>
        <s v="TX-00177"/>
        <s v="TX-00178"/>
        <s v="TX-00179"/>
        <s v="TX-00180"/>
        <s v="TX-00181"/>
        <s v="TX-00182"/>
        <s v="TX-00183"/>
        <s v="TX-00184"/>
        <s v="TX-00185"/>
        <s v="TX-00186"/>
        <s v="TX-00187"/>
        <s v="TX-00188"/>
        <s v="TX-00189"/>
        <s v="TX-00190"/>
        <s v="TX-00191"/>
        <s v="TX-00192"/>
        <s v="TX-00193"/>
        <s v="TX-00194"/>
        <s v="TX-00195"/>
        <s v="TX-00196"/>
        <s v="TX-00197"/>
        <s v="TX-00198"/>
        <s v="TX-00199"/>
        <s v="TX-00200"/>
        <s v="TX-00201"/>
        <s v="TX-00202"/>
        <s v="TX-00203"/>
        <s v="TX-00204"/>
        <s v="TX-00205"/>
        <s v="TX-00206"/>
        <s v="TX-00207"/>
        <s v="TX-00208"/>
        <s v="TX-00209"/>
        <s v="TX-00210"/>
        <s v="TX-00211"/>
        <s v="TX-00212"/>
        <s v="TX-00213"/>
        <s v="TX-00214"/>
        <s v="TX-00215"/>
        <s v="TX-00216"/>
        <s v="TX-00217"/>
        <s v="TX-00218"/>
        <s v="TX-00219"/>
        <s v="TX-00220"/>
        <s v="TX-00221"/>
        <s v="TX-00222"/>
        <s v="TX-00223"/>
        <s v="TX-00224"/>
        <s v="TX-00225"/>
        <s v="TX-00226"/>
        <s v="TX-00227"/>
        <s v="TX-00228"/>
        <s v="TX-00229"/>
        <s v="TX-00230"/>
        <s v="TX-00231"/>
        <s v="TX-00232"/>
        <s v="TX-00233"/>
        <s v="TX-00234"/>
        <s v="TX-00235"/>
        <s v="TX-00236"/>
        <s v="TX-00237"/>
        <s v="TX-00238"/>
        <s v="TX-00239"/>
        <s v="TX-00240"/>
        <s v="TX-00241"/>
        <s v="TX-00242"/>
        <s v="TX-00243"/>
        <s v="TX-00244"/>
        <s v="TX-00245"/>
        <s v="TX-00246"/>
        <s v="TX-00247"/>
        <s v="TX-00248"/>
        <s v="TX-00249"/>
        <s v="TX-00250"/>
        <s v="TX-00251"/>
        <s v="TX-00252"/>
        <s v="TX-00253"/>
        <s v="TX-00254"/>
        <s v="TX-00255"/>
        <s v="TX-00256"/>
        <s v="TX-00257"/>
        <s v="TX-00258"/>
        <s v="TX-00259"/>
        <s v="TX-00260"/>
        <s v="TX-00261"/>
        <s v="TX-00262"/>
        <s v="TX-00263"/>
        <s v="TX-00264"/>
        <s v="TX-00265"/>
        <s v="TX-00266"/>
        <s v="TX-00267"/>
        <s v="TX-00268"/>
        <s v="TX-00269"/>
        <s v="TX-00270"/>
        <s v="TX-00271"/>
        <s v="TX-00272"/>
        <s v="TX-00273"/>
        <s v="TX-00274"/>
        <s v="TX-00275"/>
        <s v="TX-00276"/>
        <s v="TX-00277"/>
        <s v="TX-00278"/>
        <s v="TX-00279"/>
        <s v="TX-00280"/>
        <s v="TX-00281"/>
        <s v="TX-00282"/>
        <s v="TX-00283"/>
        <s v="TX-00284"/>
        <s v="TX-00285"/>
        <s v="TX-00286"/>
        <s v="TX-00287"/>
        <s v="TX-00288"/>
        <s v="TX-00289"/>
        <s v="TX-00290"/>
        <s v="TX-00291"/>
        <s v="TX-00292"/>
        <s v="TX-00293"/>
        <s v="TX-00294"/>
        <s v="TX-00295"/>
        <s v="TX-00296"/>
        <s v="TX-00297"/>
        <s v="TX-00298"/>
        <s v="TX-00299"/>
        <s v="TX-00300"/>
        <s v="TX-00301"/>
        <s v="TX-00302"/>
        <s v="TX-00303"/>
        <s v="TX-00304"/>
        <s v="TX-00305"/>
        <s v="TX-00306"/>
        <s v="TX-00307"/>
        <s v="TX-00308"/>
        <s v="TX-00309"/>
        <s v="TX-00310"/>
        <s v="TX-00311"/>
        <s v="TX-00312"/>
        <s v="TX-00313"/>
        <s v="TX-00314"/>
        <s v="TX-00315"/>
        <s v="TX-00316"/>
        <s v="TX-00317"/>
        <s v="TX-00318"/>
        <s v="TX-00319"/>
        <s v="TX-00320"/>
        <s v="TX-00321"/>
        <s v="TX-00322"/>
        <s v="TX-00323"/>
        <s v="TX-00324"/>
        <s v="TX-00325"/>
        <s v="TX-00326"/>
        <s v="TX-00327"/>
        <s v="TX-00328"/>
        <s v="TX-00329"/>
        <s v="TX-00330"/>
        <s v="TX-00331"/>
        <s v="TX-00332"/>
        <s v="TX-00333"/>
        <s v="TX-00334"/>
        <s v="TX-00335"/>
        <s v="TX-00336"/>
        <s v="TX-00337"/>
        <s v="TX-00338"/>
        <s v="TX-00339"/>
        <s v="TX-00340"/>
        <s v="TX-00341"/>
        <s v="TX-00342"/>
        <s v="TX-00343"/>
        <s v="TX-00344"/>
        <s v="TX-00345"/>
        <s v="TX-00346"/>
        <s v="TX-00347"/>
        <s v="TX-00348"/>
        <s v="TX-00349"/>
        <s v="TX-00350"/>
        <s v="TX-00351"/>
        <s v="TX-00352"/>
        <s v="TX-00353"/>
        <s v="TX-00354"/>
        <s v="TX-00355"/>
        <s v="TX-00356"/>
        <s v="TX-00357"/>
        <s v="TX-00358"/>
        <s v="TX-00359"/>
        <s v="TX-00360"/>
        <s v="TX-00361"/>
        <s v="TX-00362"/>
        <s v="TX-00363"/>
        <s v="TX-00364"/>
        <s v="TX-00365"/>
        <s v="TX-00366"/>
        <s v="TX-00367"/>
        <s v="TX-00368"/>
        <s v="TX-00369"/>
        <s v="TX-00370"/>
        <s v="TX-00371"/>
        <s v="TX-00372"/>
        <s v="TX-00373"/>
        <s v="TX-00374"/>
        <s v="TX-00375"/>
        <s v="TX-00376"/>
        <s v="TX-00377"/>
        <s v="TX-00378"/>
        <s v="TX-00379"/>
        <s v="TX-00380"/>
        <s v="TX-00381"/>
        <s v="TX-00382"/>
        <s v="TX-00383"/>
        <s v="TX-00384"/>
        <s v="TX-00385"/>
        <s v="TX-00386"/>
        <s v="TX-00387"/>
        <s v="TX-00388"/>
        <s v="TX-00389"/>
        <s v="TX-00390"/>
        <s v="TX-00391"/>
        <s v="TX-00392"/>
        <s v="TX-00393"/>
        <s v="TX-00394"/>
        <s v="TX-00395"/>
        <s v="TX-00396"/>
        <s v="TX-00397"/>
        <s v="TX-00398"/>
        <s v="TX-00399"/>
        <s v="TX-00400"/>
        <s v="TX-00401"/>
        <s v="TX-00402"/>
        <s v="TX-00403"/>
        <s v="TX-00404"/>
        <s v="TX-00405"/>
        <s v="TX-00406"/>
        <s v="TX-00407"/>
        <s v="TX-00408"/>
        <s v="TX-00409"/>
        <s v="TX-00410"/>
        <s v="TX-00411"/>
        <s v="TX-00412"/>
        <s v="TX-00413"/>
        <s v="TX-00414"/>
        <s v="TX-00415"/>
        <s v="TX-00416"/>
        <s v="TX-00417"/>
        <s v="TX-00418"/>
        <s v="TX-00419"/>
        <s v="TX-00420"/>
        <s v="TX-00421"/>
        <s v="TX-00422"/>
        <s v="TX-00423"/>
        <s v="TX-00424"/>
        <s v="TX-00425"/>
        <s v="TX-00426"/>
        <s v="TX-00427"/>
        <s v="TX-00428"/>
        <s v="TX-00429"/>
        <s v="TX-00430"/>
        <s v="TX-00431"/>
        <s v="TX-00432"/>
        <s v="TX-00433"/>
        <s v="TX-00434"/>
        <s v="TX-00435"/>
        <s v="TX-00436"/>
        <s v="TX-00437"/>
        <s v="TX-00438"/>
        <s v="TX-00439"/>
        <s v="TX-00440"/>
        <s v="TX-00441"/>
        <s v="TX-00442"/>
        <s v="TX-00443"/>
        <s v="TX-00444"/>
        <s v="TX-00445"/>
        <s v="TX-00446"/>
        <s v="TX-00447"/>
        <s v="TX-00448"/>
        <s v="TX-00449"/>
        <s v="TX-00450"/>
        <s v="TX-00451"/>
        <s v="TX-00452"/>
        <s v="TX-00453"/>
        <s v="TX-00454"/>
        <s v="TX-00455"/>
        <s v="TX-00456"/>
        <s v="TX-00457"/>
        <s v="TX-00458"/>
        <s v="TX-00459"/>
        <s v="TX-00460"/>
        <s v="TX-00461"/>
        <s v="TX-00462"/>
        <s v="TX-00463"/>
        <s v="TX-00464"/>
        <s v="TX-00465"/>
        <s v="TX-00466"/>
        <s v="TX-00467"/>
        <s v="TX-00468"/>
        <s v="TX-00469"/>
        <s v="TX-00470"/>
        <s v="TX-00471"/>
        <s v="TX-00472"/>
        <s v="TX-00473"/>
        <s v="TX-00474"/>
        <s v="TX-00475"/>
        <s v="TX-00476"/>
        <s v="TX-00477"/>
        <s v="TX-00478"/>
        <s v="TX-00479"/>
        <s v="TX-00480"/>
        <s v="TX-00481"/>
        <s v="TX-00482"/>
        <s v="TX-00483"/>
        <s v="TX-00484"/>
        <s v="TX-00485"/>
        <s v="TX-00486"/>
        <s v="TX-00487"/>
        <s v="TX-00488"/>
        <s v="TX-00489"/>
        <s v="TX-00490"/>
        <s v="TX-00491"/>
        <s v="TX-00492"/>
        <s v="TX-00493"/>
        <s v="TX-00494"/>
        <s v="TX-00495"/>
        <s v="TX-00496"/>
        <s v="TX-00497"/>
        <s v="TX-00498"/>
        <s v="TX-00499"/>
        <s v="TX-00500"/>
        <s v="TX-00501"/>
      </sharedItems>
    </cacheField>
    <cacheField name="Sale_Date" numFmtId="166">
      <sharedItems containsSemiMixedTypes="0" containsNonDate="0" containsDate="1" containsString="0" minDate="2018-01-08T00:00:00" maxDate="2026-04-01T00:00:00" count="474">
        <d v="2023-09-24T00:00:00"/>
        <d v="2024-05-06T00:00:00"/>
        <d v="2023-07-11T00:00:00"/>
        <d v="2024-02-03T00:00:00"/>
        <d v="2024-03-05T00:00:00"/>
        <d v="2022-10-03T00:00:00"/>
        <d v="2023-10-23T00:00:00"/>
        <d v="2025-03-25T00:00:00"/>
        <d v="2020-06-21T00:00:00"/>
        <d v="2021-09-22T00:00:00"/>
        <d v="2020-04-18T00:00:00"/>
        <d v="2018-06-30T00:00:00"/>
        <d v="2024-09-07T00:00:00"/>
        <d v="2024-09-26T00:00:00"/>
        <d v="2022-07-29T00:00:00"/>
        <d v="2022-11-28T00:00:00"/>
        <d v="2024-09-05T00:00:00"/>
        <d v="2022-07-25T00:00:00"/>
        <d v="2022-12-17T00:00:00"/>
        <d v="2018-12-07T00:00:00"/>
        <d v="2024-11-09T00:00:00"/>
        <d v="2019-05-06T00:00:00"/>
        <d v="2021-10-26T00:00:00"/>
        <d v="2022-08-21T00:00:00"/>
        <d v="2024-11-13T00:00:00"/>
        <d v="2019-06-25T00:00:00"/>
        <d v="2022-12-14T00:00:00"/>
        <d v="2026-01-12T00:00:00"/>
        <d v="2022-02-25T00:00:00"/>
        <d v="2025-11-03T00:00:00"/>
        <d v="2020-05-20T00:00:00"/>
        <d v="2019-03-01T00:00:00"/>
        <d v="2021-03-31T00:00:00"/>
        <d v="2025-02-07T00:00:00"/>
        <d v="2021-07-05T00:00:00"/>
        <d v="2018-05-25T00:00:00"/>
        <d v="2024-10-05T00:00:00"/>
        <d v="2022-03-24T00:00:00"/>
        <d v="2018-02-06T00:00:00"/>
        <d v="2020-12-06T00:00:00"/>
        <d v="2024-02-01T00:00:00"/>
        <d v="2023-12-27T00:00:00"/>
        <d v="2018-10-03T00:00:00"/>
        <d v="2026-03-06T00:00:00"/>
        <d v="2018-03-09T00:00:00"/>
        <d v="2020-06-11T00:00:00"/>
        <d v="2025-08-06T00:00:00"/>
        <d v="2021-08-29T00:00:00"/>
        <d v="2024-04-23T00:00:00"/>
        <d v="2020-05-23T00:00:00"/>
        <d v="2025-06-16T00:00:00"/>
        <d v="2022-08-02T00:00:00"/>
        <d v="2023-12-05T00:00:00"/>
        <d v="2018-01-25T00:00:00"/>
        <d v="2025-09-23T00:00:00"/>
        <d v="2019-07-09T00:00:00"/>
        <d v="2018-03-19T00:00:00"/>
        <d v="2022-09-30T00:00:00"/>
        <d v="2020-05-01T00:00:00"/>
        <d v="2019-02-28T00:00:00"/>
        <d v="2025-08-18T00:00:00"/>
        <d v="2020-07-26T00:00:00"/>
        <d v="2023-11-27T00:00:00"/>
        <d v="2022-11-01T00:00:00"/>
        <d v="2020-11-04T00:00:00"/>
        <d v="2020-02-28T00:00:00"/>
        <d v="2021-10-07T00:00:00"/>
        <d v="2025-03-08T00:00:00"/>
        <d v="2026-02-17T00:00:00"/>
        <d v="2021-02-20T00:00:00"/>
        <d v="2021-01-15T00:00:00"/>
        <d v="2022-04-04T00:00:00"/>
        <d v="2019-07-04T00:00:00"/>
        <d v="2018-07-29T00:00:00"/>
        <d v="2024-04-24T00:00:00"/>
        <d v="2018-01-17T00:00:00"/>
        <d v="2019-01-08T00:00:00"/>
        <d v="2024-04-21T00:00:00"/>
        <d v="2025-01-28T00:00:00"/>
        <d v="2021-10-31T00:00:00"/>
        <d v="2023-07-21T00:00:00"/>
        <d v="2022-07-27T00:00:00"/>
        <d v="2021-01-07T00:00:00"/>
        <d v="2019-09-27T00:00:00"/>
        <d v="2020-10-28T00:00:00"/>
        <d v="2022-09-25T00:00:00"/>
        <d v="2020-08-29T00:00:00"/>
        <d v="2018-12-10T00:00:00"/>
        <d v="2018-09-25T00:00:00"/>
        <d v="2023-09-06T00:00:00"/>
        <d v="2020-03-22T00:00:00"/>
        <d v="2025-08-13T00:00:00"/>
        <d v="2023-05-24T00:00:00"/>
        <d v="2025-09-25T00:00:00"/>
        <d v="2023-07-02T00:00:00"/>
        <d v="2025-09-07T00:00:00"/>
        <d v="2025-10-05T00:00:00"/>
        <d v="2023-04-27T00:00:00"/>
        <d v="2022-08-01T00:00:00"/>
        <d v="2022-08-13T00:00:00"/>
        <d v="2018-11-06T00:00:00"/>
        <d v="2023-06-03T00:00:00"/>
        <d v="2022-10-29T00:00:00"/>
        <d v="2021-06-30T00:00:00"/>
        <d v="2023-04-12T00:00:00"/>
        <d v="2019-06-02T00:00:00"/>
        <d v="2022-10-13T00:00:00"/>
        <d v="2025-11-12T00:00:00"/>
        <d v="2021-03-08T00:00:00"/>
        <d v="2021-11-04T00:00:00"/>
        <d v="2023-05-05T00:00:00"/>
        <d v="2021-07-02T00:00:00"/>
        <d v="2019-03-09T00:00:00"/>
        <d v="2019-08-24T00:00:00"/>
        <d v="2025-02-09T00:00:00"/>
        <d v="2021-02-17T00:00:00"/>
        <d v="2020-09-17T00:00:00"/>
        <d v="2024-08-06T00:00:00"/>
        <d v="2019-09-11T00:00:00"/>
        <d v="2018-08-24T00:00:00"/>
        <d v="2023-01-05T00:00:00"/>
        <d v="2020-06-06T00:00:00"/>
        <d v="2020-06-28T00:00:00"/>
        <d v="2024-07-17T00:00:00"/>
        <d v="2021-09-14T00:00:00"/>
        <d v="2024-07-08T00:00:00"/>
        <d v="2018-01-08T00:00:00"/>
        <d v="2021-03-04T00:00:00"/>
        <d v="2021-03-17T00:00:00"/>
        <d v="2024-06-01T00:00:00"/>
        <d v="2020-02-25T00:00:00"/>
        <d v="2024-07-21T00:00:00"/>
        <d v="2018-02-27T00:00:00"/>
        <d v="2021-09-18T00:00:00"/>
        <d v="2019-10-04T00:00:00"/>
        <d v="2022-05-13T00:00:00"/>
        <d v="2024-03-02T00:00:00"/>
        <d v="2019-11-02T00:00:00"/>
        <d v="2022-12-23T00:00:00"/>
        <d v="2019-12-21T00:00:00"/>
        <d v="2019-06-14T00:00:00"/>
        <d v="2022-10-08T00:00:00"/>
        <d v="2024-06-19T00:00:00"/>
        <d v="2024-01-30T00:00:00"/>
        <d v="2020-02-03T00:00:00"/>
        <d v="2022-05-25T00:00:00"/>
        <d v="2025-05-14T00:00:00"/>
        <d v="2020-07-01T00:00:00"/>
        <d v="2020-11-20T00:00:00"/>
        <d v="2021-10-27T00:00:00"/>
        <d v="2025-06-22T00:00:00"/>
        <d v="2022-08-05T00:00:00"/>
        <d v="2021-09-03T00:00:00"/>
        <d v="2022-04-09T00:00:00"/>
        <d v="2021-07-09T00:00:00"/>
        <d v="2024-03-24T00:00:00"/>
        <d v="2019-08-22T00:00:00"/>
        <d v="2019-10-24T00:00:00"/>
        <d v="2020-03-12T00:00:00"/>
        <d v="2021-05-17T00:00:00"/>
        <d v="2019-02-13T00:00:00"/>
        <d v="2025-11-30T00:00:00"/>
        <d v="2024-11-19T00:00:00"/>
        <d v="2019-04-09T00:00:00"/>
        <d v="2019-02-17T00:00:00"/>
        <d v="2023-05-19T00:00:00"/>
        <d v="2024-11-02T00:00:00"/>
        <d v="2019-02-03T00:00:00"/>
        <d v="2018-12-21T00:00:00"/>
        <d v="2022-06-25T00:00:00"/>
        <d v="2026-01-16T00:00:00"/>
        <d v="2019-07-30T00:00:00"/>
        <d v="2024-12-07T00:00:00"/>
        <d v="2020-02-10T00:00:00"/>
        <d v="2022-04-11T00:00:00"/>
        <d v="2022-10-17T00:00:00"/>
        <d v="2020-12-14T00:00:00"/>
        <d v="2024-05-22T00:00:00"/>
        <d v="2019-05-15T00:00:00"/>
        <d v="2019-11-26T00:00:00"/>
        <d v="2024-03-12T00:00:00"/>
        <d v="2021-04-20T00:00:00"/>
        <d v="2019-03-05T00:00:00"/>
        <d v="2018-04-06T00:00:00"/>
        <d v="2022-01-08T00:00:00"/>
        <d v="2025-05-16T00:00:00"/>
        <d v="2020-02-09T00:00:00"/>
        <d v="2024-09-18T00:00:00"/>
        <d v="2023-09-08T00:00:00"/>
        <d v="2022-04-20T00:00:00"/>
        <d v="2026-03-31T00:00:00"/>
        <d v="2024-01-11T00:00:00"/>
        <d v="2023-06-09T00:00:00"/>
        <d v="2026-01-22T00:00:00"/>
        <d v="2022-11-04T00:00:00"/>
        <d v="2026-03-08T00:00:00"/>
        <d v="2021-10-01T00:00:00"/>
        <d v="2019-09-09T00:00:00"/>
        <d v="2025-03-17T00:00:00"/>
        <d v="2025-03-02T00:00:00"/>
        <d v="2023-08-24T00:00:00"/>
        <d v="2021-08-15T00:00:00"/>
        <d v="2018-12-15T00:00:00"/>
        <d v="2019-02-22T00:00:00"/>
        <d v="2018-02-12T00:00:00"/>
        <d v="2023-05-08T00:00:00"/>
        <d v="2025-02-21T00:00:00"/>
        <d v="2025-07-12T00:00:00"/>
        <d v="2018-11-03T00:00:00"/>
        <d v="2025-11-16T00:00:00"/>
        <d v="2026-02-21T00:00:00"/>
        <d v="2018-08-31T00:00:00"/>
        <d v="2022-05-26T00:00:00"/>
        <d v="2019-10-05T00:00:00"/>
        <d v="2024-10-21T00:00:00"/>
        <d v="2025-02-18T00:00:00"/>
        <d v="2023-03-26T00:00:00"/>
        <d v="2020-03-01T00:00:00"/>
        <d v="2023-01-02T00:00:00"/>
        <d v="2024-01-02T00:00:00"/>
        <d v="2026-01-07T00:00:00"/>
        <d v="2024-03-11T00:00:00"/>
        <d v="2025-11-26T00:00:00"/>
        <d v="2024-01-18T00:00:00"/>
        <d v="2018-02-23T00:00:00"/>
        <d v="2023-08-23T00:00:00"/>
        <d v="2018-12-08T00:00:00"/>
        <d v="2018-02-16T00:00:00"/>
        <d v="2022-06-22T00:00:00"/>
        <d v="2022-12-15T00:00:00"/>
        <d v="2018-11-21T00:00:00"/>
        <d v="2019-12-19T00:00:00"/>
        <d v="2022-06-28T00:00:00"/>
        <d v="2025-01-04T00:00:00"/>
        <d v="2019-08-20T00:00:00"/>
        <d v="2023-05-22T00:00:00"/>
        <d v="2024-06-24T00:00:00"/>
        <d v="2021-12-26T00:00:00"/>
        <d v="2018-08-20T00:00:00"/>
        <d v="2023-12-22T00:00:00"/>
        <d v="2021-06-12T00:00:00"/>
        <d v="2020-06-07T00:00:00"/>
        <d v="2022-05-18T00:00:00"/>
        <d v="2025-11-15T00:00:00"/>
        <d v="2022-07-28T00:00:00"/>
        <d v="2025-06-03T00:00:00"/>
        <d v="2020-05-29T00:00:00"/>
        <d v="2023-01-16T00:00:00"/>
        <d v="2026-01-13T00:00:00"/>
        <d v="2018-04-01T00:00:00"/>
        <d v="2025-04-14T00:00:00"/>
        <d v="2020-02-20T00:00:00"/>
        <d v="2020-01-30T00:00:00"/>
        <d v="2021-02-25T00:00:00"/>
        <d v="2024-04-25T00:00:00"/>
        <d v="2018-10-28T00:00:00"/>
        <d v="2020-07-02T00:00:00"/>
        <d v="2021-10-06T00:00:00"/>
        <d v="2025-08-02T00:00:00"/>
        <d v="2022-07-14T00:00:00"/>
        <d v="2019-04-17T00:00:00"/>
        <d v="2024-08-09T00:00:00"/>
        <d v="2018-06-17T00:00:00"/>
        <d v="2022-07-04T00:00:00"/>
        <d v="2021-09-06T00:00:00"/>
        <d v="2020-07-07T00:00:00"/>
        <d v="2019-01-03T00:00:00"/>
        <d v="2021-01-04T00:00:00"/>
        <d v="2019-02-27T00:00:00"/>
        <d v="2019-02-06T00:00:00"/>
        <d v="2024-05-05T00:00:00"/>
        <d v="2026-01-10T00:00:00"/>
        <d v="2019-04-23T00:00:00"/>
        <d v="2021-01-18T00:00:00"/>
        <d v="2023-02-21T00:00:00"/>
        <d v="2025-06-21T00:00:00"/>
        <d v="2022-10-14T00:00:00"/>
        <d v="2022-03-01T00:00:00"/>
        <d v="2019-01-17T00:00:00"/>
        <d v="2018-08-06T00:00:00"/>
        <d v="2019-07-11T00:00:00"/>
        <d v="2025-12-19T00:00:00"/>
        <d v="2022-10-01T00:00:00"/>
        <d v="2019-04-11T00:00:00"/>
        <d v="2020-10-19T00:00:00"/>
        <d v="2026-03-03T00:00:00"/>
        <d v="2019-05-14T00:00:00"/>
        <d v="2021-05-12T00:00:00"/>
        <d v="2018-05-22T00:00:00"/>
        <d v="2020-04-04T00:00:00"/>
        <d v="2020-04-20T00:00:00"/>
        <d v="2019-11-18T00:00:00"/>
        <d v="2021-09-27T00:00:00"/>
        <d v="2024-08-12T00:00:00"/>
        <d v="2024-07-24T00:00:00"/>
        <d v="2024-07-29T00:00:00"/>
        <d v="2025-01-17T00:00:00"/>
        <d v="2023-04-05T00:00:00"/>
        <d v="2019-09-24T00:00:00"/>
        <d v="2018-11-08T00:00:00"/>
        <d v="2023-02-17T00:00:00"/>
        <d v="2020-07-14T00:00:00"/>
        <d v="2026-02-12T00:00:00"/>
        <d v="2023-11-23T00:00:00"/>
        <d v="2022-01-21T00:00:00"/>
        <d v="2026-02-03T00:00:00"/>
        <d v="2021-10-16T00:00:00"/>
        <d v="2023-04-30T00:00:00"/>
        <d v="2021-04-17T00:00:00"/>
        <d v="2018-07-11T00:00:00"/>
        <d v="2022-04-05T00:00:00"/>
        <d v="2021-04-27T00:00:00"/>
        <d v="2020-01-12T00:00:00"/>
        <d v="2021-12-14T00:00:00"/>
        <d v="2025-10-25T00:00:00"/>
        <d v="2021-11-15T00:00:00"/>
        <d v="2019-09-18T00:00:00"/>
        <d v="2022-09-19T00:00:00"/>
        <d v="2024-06-30T00:00:00"/>
        <d v="2023-08-17T00:00:00"/>
        <d v="2021-01-27T00:00:00"/>
        <d v="2018-07-28T00:00:00"/>
        <d v="2020-04-07T00:00:00"/>
        <d v="2021-11-08T00:00:00"/>
        <d v="2022-05-19T00:00:00"/>
        <d v="2022-11-26T00:00:00"/>
        <d v="2025-02-23T00:00:00"/>
        <d v="2019-02-24T00:00:00"/>
        <d v="2018-03-01T00:00:00"/>
        <d v="2022-01-26T00:00:00"/>
        <d v="2025-05-24T00:00:00"/>
        <d v="2022-08-19T00:00:00"/>
        <d v="2024-04-11T00:00:00"/>
        <d v="2019-03-25T00:00:00"/>
        <d v="2023-03-20T00:00:00"/>
        <d v="2020-08-17T00:00:00"/>
        <d v="2025-01-29T00:00:00"/>
        <d v="2020-10-20T00:00:00"/>
        <d v="2021-11-25T00:00:00"/>
        <d v="2024-07-07T00:00:00"/>
        <d v="2025-07-22T00:00:00"/>
        <d v="2018-09-23T00:00:00"/>
        <d v="2026-01-25T00:00:00"/>
        <d v="2022-12-02T00:00:00"/>
        <d v="2023-05-20T00:00:00"/>
        <d v="2018-06-28T00:00:00"/>
        <d v="2019-09-26T00:00:00"/>
        <d v="2020-05-11T00:00:00"/>
        <d v="2018-03-14T00:00:00"/>
        <d v="2020-06-18T00:00:00"/>
        <d v="2023-08-25T00:00:00"/>
        <d v="2023-01-21T00:00:00"/>
        <d v="2018-01-19T00:00:00"/>
        <d v="2019-10-31T00:00:00"/>
        <d v="2023-09-13T00:00:00"/>
        <d v="2021-10-04T00:00:00"/>
        <d v="2019-09-21T00:00:00"/>
        <d v="2019-04-14T00:00:00"/>
        <d v="2024-08-15T00:00:00"/>
        <d v="2022-11-23T00:00:00"/>
        <d v="2019-11-08T00:00:00"/>
        <d v="2023-12-25T00:00:00"/>
        <d v="2023-03-08T00:00:00"/>
        <d v="2023-03-15T00:00:00"/>
        <d v="2021-02-13T00:00:00"/>
        <d v="2023-09-15T00:00:00"/>
        <d v="2023-07-26T00:00:00"/>
        <d v="2020-04-03T00:00:00"/>
        <d v="2023-05-17T00:00:00"/>
        <d v="2023-01-13T00:00:00"/>
        <d v="2023-03-14T00:00:00"/>
        <d v="2021-02-26T00:00:00"/>
        <d v="2018-11-15T00:00:00"/>
        <d v="2025-08-08T00:00:00"/>
        <d v="2020-01-14T00:00:00"/>
        <d v="2022-03-11T00:00:00"/>
        <d v="2023-08-13T00:00:00"/>
        <d v="2019-11-15T00:00:00"/>
        <d v="2023-06-26T00:00:00"/>
        <d v="2021-07-31T00:00:00"/>
        <d v="2020-01-29T00:00:00"/>
        <d v="2023-03-12T00:00:00"/>
        <d v="2024-07-26T00:00:00"/>
        <d v="2020-06-13T00:00:00"/>
        <d v="2023-07-07T00:00:00"/>
        <d v="2023-06-30T00:00:00"/>
        <d v="2025-10-29T00:00:00"/>
        <d v="2021-11-11T00:00:00"/>
        <d v="2018-12-01T00:00:00"/>
        <d v="2024-12-13T00:00:00"/>
        <d v="2022-06-09T00:00:00"/>
        <d v="2022-10-16T00:00:00"/>
        <d v="2025-04-04T00:00:00"/>
        <d v="2018-07-24T00:00:00"/>
        <d v="2020-05-13T00:00:00"/>
        <d v="2022-07-10T00:00:00"/>
        <d v="2021-08-16T00:00:00"/>
        <d v="2022-06-19T00:00:00"/>
        <d v="2019-09-29T00:00:00"/>
        <d v="2020-07-09T00:00:00"/>
        <d v="2018-08-30T00:00:00"/>
        <d v="2024-07-06T00:00:00"/>
        <d v="2025-07-24T00:00:00"/>
        <d v="2025-04-09T00:00:00"/>
        <d v="2019-10-30T00:00:00"/>
        <d v="2023-04-08T00:00:00"/>
        <d v="2019-12-02T00:00:00"/>
        <d v="2023-01-06T00:00:00"/>
        <d v="2022-12-04T00:00:00"/>
        <d v="2020-04-21T00:00:00"/>
        <d v="2019-12-07T00:00:00"/>
        <d v="2019-11-06T00:00:00"/>
        <d v="2025-03-16T00:00:00"/>
        <d v="2022-05-15T00:00:00"/>
        <d v="2018-05-08T00:00:00"/>
        <d v="2025-11-04T00:00:00"/>
        <d v="2024-08-13T00:00:00"/>
        <d v="2025-09-16T00:00:00"/>
        <d v="2019-08-17T00:00:00"/>
        <d v="2020-04-02T00:00:00"/>
        <d v="2020-03-19T00:00:00"/>
        <d v="2023-10-01T00:00:00"/>
        <d v="2024-06-28T00:00:00"/>
        <d v="2021-06-22T00:00:00"/>
        <d v="2021-04-11T00:00:00"/>
        <d v="2021-09-30T00:00:00"/>
        <d v="2025-10-09T00:00:00"/>
        <d v="2025-04-21T00:00:00"/>
        <d v="2020-01-27T00:00:00"/>
        <d v="2023-08-04T00:00:00"/>
        <d v="2021-12-30T00:00:00"/>
        <d v="2018-01-21T00:00:00"/>
        <d v="2018-12-09T00:00:00"/>
        <d v="2022-02-28T00:00:00"/>
        <d v="2023-02-01T00:00:00"/>
        <d v="2021-07-23T00:00:00"/>
        <d v="2021-02-15T00:00:00"/>
        <d v="2020-12-01T00:00:00"/>
        <d v="2018-11-12T00:00:00"/>
        <d v="2025-03-12T00:00:00"/>
        <d v="2025-01-07T00:00:00"/>
        <d v="2019-10-03T00:00:00"/>
        <d v="2018-10-18T00:00:00"/>
        <d v="2025-07-06T00:00:00"/>
        <d v="2021-12-09T00:00:00"/>
        <d v="2025-10-18T00:00:00"/>
        <d v="2022-09-27T00:00:00"/>
        <d v="2023-07-19T00:00:00"/>
        <d v="2020-08-08T00:00:00"/>
        <d v="2022-06-04T00:00:00"/>
        <d v="2024-01-31T00:00:00"/>
        <d v="2022-05-03T00:00:00"/>
        <d v="2024-08-05T00:00:00"/>
        <d v="2018-03-25T00:00:00"/>
        <d v="2023-09-21T00:00:00"/>
        <d v="2018-12-30T00:00:00"/>
        <d v="2019-02-11T00:00:00"/>
        <d v="2024-10-23T00:00:00"/>
        <d v="2019-07-22T00:00:00"/>
        <d v="2018-02-04T00:00:00"/>
        <d v="2018-05-12T00:00:00"/>
        <d v="2020-09-10T00:00:00"/>
        <d v="2025-12-31T00:00:00"/>
        <d v="2019-03-28T00:00:00"/>
        <d v="2024-09-24T00:00:00"/>
        <d v="2023-04-06T00:00:00"/>
        <d v="2025-09-14T00:00:00"/>
        <d v="2024-07-03T00:00:00"/>
        <d v="2019-06-11T00:00:00"/>
        <d v="2026-01-28T00:00:00"/>
        <d v="2020-12-15T00:00:00"/>
        <d v="2018-10-10T00:00:00"/>
        <d v="2019-12-09T00:00:00"/>
        <d v="2022-09-24T00:00:00"/>
      </sharedItems>
      <fieldGroup par="23" base="1">
        <rangePr groupBy="months" startDate="2018-01-08T00:00:00" endDate="2026-04-01T00:00:00"/>
        <groupItems count="14">
          <s v="&lt;1/8/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/2026"/>
        </groupItems>
      </fieldGroup>
    </cacheField>
    <cacheField name="Property_Type" numFmtId="0">
      <sharedItems count="4">
        <s v="Land"/>
        <s v="Commercial"/>
        <s v="House &amp; Lot"/>
        <s v="Condo"/>
      </sharedItems>
    </cacheField>
    <cacheField name="Location_City" numFmtId="0">
      <sharedItems count="4">
        <s v="Laguna"/>
        <s v="Cavite"/>
        <s v="Bulacan"/>
        <s v="Makati"/>
      </sharedItems>
    </cacheField>
    <cacheField name="Bedrooms" numFmtId="0">
      <sharedItems containsSemiMixedTypes="0" containsString="0" containsNumber="1" containsInteger="1" minValue="1" maxValue="4"/>
    </cacheField>
    <cacheField name="Bathrooms" numFmtId="0">
      <sharedItems containsSemiMixedTypes="0" containsString="0" containsNumber="1" containsInteger="1" minValue="1" maxValue="4"/>
    </cacheField>
    <cacheField name="Floor_Area_sqm" numFmtId="0">
      <sharedItems containsSemiMixedTypes="0" containsString="0" containsNumber="1" containsInteger="1" minValue="40" maxValue="200"/>
    </cacheField>
    <cacheField name="Lot_Area_sqm" numFmtId="0">
      <sharedItems containsSemiMixedTypes="0" containsString="0" containsNumber="1" containsInteger="1" minValue="50" maxValue="250"/>
    </cacheField>
    <cacheField name="Year_Built" numFmtId="0">
      <sharedItems containsSemiMixedTypes="0" containsString="0" containsNumber="1" containsInteger="1" minValue="2010" maxValue="2023"/>
    </cacheField>
    <cacheField name="Listing_Price" numFmtId="164">
      <sharedItems containsSemiMixedTypes="0" containsString="0" containsNumber="1" containsInteger="1" minValue="2001710" maxValue="14989192"/>
    </cacheField>
    <cacheField name="Sale_Price" numFmtId="165">
      <sharedItems containsSemiMixedTypes="0" containsString="0" containsNumber="1" containsInteger="1" minValue="1507742" maxValue="12996836" count="500">
        <n v="3894658"/>
        <n v="11027847"/>
        <n v="6184027"/>
        <n v="2976706"/>
        <n v="4100948"/>
        <n v="4790643"/>
        <n v="9914642"/>
        <n v="11081579"/>
        <n v="12628928"/>
        <n v="5385941"/>
        <n v="5540015"/>
        <n v="5762538"/>
        <n v="2983110"/>
        <n v="10063147"/>
        <n v="3321661"/>
        <n v="6975688"/>
        <n v="8502047"/>
        <n v="5146758"/>
        <n v="10763500"/>
        <n v="3414614"/>
        <n v="5958163"/>
        <n v="12339585"/>
        <n v="6958243"/>
        <n v="7607294"/>
        <n v="7989771"/>
        <n v="4208119"/>
        <n v="6880724"/>
        <n v="9347505"/>
        <n v="7889971"/>
        <n v="12424986"/>
        <n v="10095199"/>
        <n v="5205278"/>
        <n v="6409873"/>
        <n v="11014939"/>
        <n v="2099639"/>
        <n v="5880973"/>
        <n v="2281363"/>
        <n v="1585958"/>
        <n v="2387561"/>
        <n v="8747419"/>
        <n v="11701404"/>
        <n v="3989845"/>
        <n v="10933123"/>
        <n v="11581966"/>
        <n v="1830177"/>
        <n v="6304298"/>
        <n v="9308094"/>
        <n v="3020178"/>
        <n v="11778782"/>
        <n v="11428309"/>
        <n v="4282585"/>
        <n v="12849609"/>
        <n v="8459320"/>
        <n v="11517455"/>
        <n v="7589465"/>
        <n v="5138945"/>
        <n v="8383552"/>
        <n v="1948093"/>
        <n v="11546789"/>
        <n v="4474460"/>
        <n v="5999258"/>
        <n v="7898297"/>
        <n v="1980156"/>
        <n v="7661317"/>
        <n v="6386192"/>
        <n v="6368252"/>
        <n v="10964537"/>
        <n v="4357109"/>
        <n v="6443500"/>
        <n v="10991049"/>
        <n v="10938820"/>
        <n v="4976258"/>
        <n v="7779345"/>
        <n v="8014573"/>
        <n v="8881378"/>
        <n v="12859418"/>
        <n v="9190629"/>
        <n v="12793839"/>
        <n v="4380723"/>
        <n v="1968415"/>
        <n v="5396929"/>
        <n v="1638521"/>
        <n v="10300022"/>
        <n v="10446675"/>
        <n v="5047123"/>
        <n v="4717770"/>
        <n v="8668197"/>
        <n v="3720162"/>
        <n v="4311927"/>
        <n v="11838004"/>
        <n v="9868997"/>
        <n v="6913439"/>
        <n v="11521828"/>
        <n v="7854488"/>
        <n v="2020963"/>
        <n v="2802609"/>
        <n v="5959193"/>
        <n v="6076826"/>
        <n v="8689805"/>
        <n v="2084537"/>
        <n v="4729585"/>
        <n v="3519422"/>
        <n v="6091467"/>
        <n v="8455485"/>
        <n v="6715791"/>
        <n v="8650596"/>
        <n v="12021765"/>
        <n v="5254301"/>
        <n v="6737775"/>
        <n v="12361240"/>
        <n v="9789056"/>
        <n v="7661530"/>
        <n v="5678815"/>
        <n v="6844239"/>
        <n v="1703738"/>
        <n v="2976320"/>
        <n v="5264673"/>
        <n v="11233684"/>
        <n v="4491941"/>
        <n v="3106995"/>
        <n v="8933835"/>
        <n v="8993378"/>
        <n v="6045875"/>
        <n v="4609849"/>
        <n v="6301727"/>
        <n v="1552505"/>
        <n v="9811551"/>
        <n v="5381739"/>
        <n v="8024094"/>
        <n v="11870270"/>
        <n v="10537509"/>
        <n v="5628415"/>
        <n v="6783776"/>
        <n v="2068243"/>
        <n v="7670528"/>
        <n v="9880031"/>
        <n v="8945491"/>
        <n v="2021681"/>
        <n v="6917035"/>
        <n v="8738416"/>
        <n v="6079189"/>
        <n v="7993004"/>
        <n v="11674880"/>
        <n v="3881442"/>
        <n v="7151135"/>
        <n v="5482730"/>
        <n v="7639193"/>
        <n v="5986652"/>
        <n v="10392092"/>
        <n v="6042837"/>
        <n v="1692645"/>
        <n v="2883212"/>
        <n v="5260870"/>
        <n v="2325179"/>
        <n v="2745839"/>
        <n v="8181193"/>
        <n v="10309501"/>
        <n v="5993164"/>
        <n v="10525876"/>
        <n v="4811929"/>
        <n v="3614973"/>
        <n v="10257546"/>
        <n v="10939215"/>
        <n v="2959703"/>
        <n v="11045914"/>
        <n v="3240774"/>
        <n v="5755912"/>
        <n v="2096455"/>
        <n v="3273361"/>
        <n v="5845319"/>
        <n v="10523960"/>
        <n v="5429811"/>
        <n v="1612010"/>
        <n v="7582060"/>
        <n v="9779727"/>
        <n v="4143814"/>
        <n v="6098115"/>
        <n v="9085020"/>
        <n v="4532920"/>
        <n v="2686495"/>
        <n v="11395297"/>
        <n v="2976071"/>
        <n v="4459152"/>
        <n v="6554375"/>
        <n v="3861832"/>
        <n v="4351234"/>
        <n v="6616081"/>
        <n v="10059135"/>
        <n v="2779676"/>
        <n v="2734239"/>
        <n v="10590090"/>
        <n v="12512424"/>
        <n v="1710098"/>
        <n v="2302631"/>
        <n v="9600878"/>
        <n v="3789681"/>
        <n v="2743708"/>
        <n v="7610348"/>
        <n v="1885206"/>
        <n v="10906608"/>
        <n v="8063560"/>
        <n v="9764083"/>
        <n v="10517957"/>
        <n v="3351524"/>
        <n v="12250557"/>
        <n v="3608900"/>
        <n v="6555428"/>
        <n v="4313208"/>
        <n v="10026808"/>
        <n v="8504654"/>
        <n v="5522571"/>
        <n v="2403481"/>
        <n v="7843245"/>
        <n v="9644222"/>
        <n v="4287202"/>
        <n v="6360936"/>
        <n v="5890068"/>
        <n v="4058224"/>
        <n v="7637615"/>
        <n v="2588014"/>
        <n v="7134728"/>
        <n v="4640386"/>
        <n v="9000315"/>
        <n v="3177476"/>
        <n v="5509754"/>
        <n v="10303819"/>
        <n v="1815781"/>
        <n v="12743109"/>
        <n v="2893518"/>
        <n v="7226148"/>
        <n v="11719229"/>
        <n v="10226087"/>
        <n v="3129263"/>
        <n v="8253166"/>
        <n v="11358381"/>
        <n v="8352979"/>
        <n v="12577393"/>
        <n v="9774940"/>
        <n v="12367422"/>
        <n v="12509620"/>
        <n v="3828665"/>
        <n v="6190677"/>
        <n v="5868972"/>
        <n v="3811799"/>
        <n v="9244867"/>
        <n v="1806290"/>
        <n v="3756441"/>
        <n v="6127388"/>
        <n v="11439173"/>
        <n v="8206830"/>
        <n v="10347262"/>
        <n v="12055267"/>
        <n v="7618854"/>
        <n v="11715725"/>
        <n v="1507742"/>
        <n v="12510505"/>
        <n v="8424607"/>
        <n v="7702035"/>
        <n v="9536345"/>
        <n v="3776406"/>
        <n v="12179176"/>
        <n v="7008476"/>
        <n v="8191086"/>
        <n v="5520229"/>
        <n v="12103578"/>
        <n v="4082577"/>
        <n v="11852149"/>
        <n v="8985088"/>
        <n v="11252406"/>
        <n v="11421953"/>
        <n v="10688074"/>
        <n v="12724431"/>
        <n v="9678009"/>
        <n v="10077428"/>
        <n v="7630109"/>
        <n v="10588425"/>
        <n v="8580361"/>
        <n v="1557531"/>
        <n v="12454001"/>
        <n v="9024814"/>
        <n v="6366773"/>
        <n v="10459229"/>
        <n v="7520922"/>
        <n v="4732321"/>
        <n v="3461022"/>
        <n v="8103927"/>
        <n v="1836148"/>
        <n v="6777600"/>
        <n v="4742585"/>
        <n v="5883091"/>
        <n v="4009240"/>
        <n v="6280447"/>
        <n v="10267430"/>
        <n v="3419176"/>
        <n v="9776157"/>
        <n v="12233953"/>
        <n v="8790847"/>
        <n v="11317214"/>
        <n v="3110793"/>
        <n v="10370137"/>
        <n v="4380213"/>
        <n v="8019923"/>
        <n v="4502176"/>
        <n v="12505412"/>
        <n v="6926362"/>
        <n v="10001681"/>
        <n v="6959671"/>
        <n v="6800029"/>
        <n v="3776403"/>
        <n v="3435543"/>
        <n v="1548010"/>
        <n v="5957208"/>
        <n v="10381196"/>
        <n v="3159287"/>
        <n v="8562043"/>
        <n v="8009982"/>
        <n v="9893635"/>
        <n v="4105620"/>
        <n v="11363731"/>
        <n v="12996836"/>
        <n v="7273507"/>
        <n v="12682938"/>
        <n v="8481070"/>
        <n v="1942391"/>
        <n v="7736745"/>
        <n v="2136049"/>
        <n v="8396144"/>
        <n v="8917675"/>
        <n v="11304998"/>
        <n v="4753212"/>
        <n v="10600959"/>
        <n v="2527704"/>
        <n v="4882527"/>
        <n v="6316006"/>
        <n v="12547395"/>
        <n v="11861121"/>
        <n v="11606002"/>
        <n v="5211653"/>
        <n v="8957625"/>
        <n v="6839770"/>
        <n v="10195362"/>
        <n v="3023698"/>
        <n v="9548419"/>
        <n v="5639057"/>
        <n v="2423952"/>
        <n v="12777591"/>
        <n v="2587151"/>
        <n v="6840306"/>
        <n v="12649089"/>
        <n v="8315690"/>
        <n v="8883572"/>
        <n v="2175102"/>
        <n v="4014170"/>
        <n v="1558443"/>
        <n v="11103668"/>
        <n v="3247920"/>
        <n v="9895806"/>
        <n v="12574826"/>
        <n v="7928422"/>
        <n v="11186015"/>
        <n v="5189205"/>
        <n v="6049467"/>
        <n v="5688138"/>
        <n v="6970901"/>
        <n v="8034942"/>
        <n v="6178660"/>
        <n v="11005829"/>
        <n v="6356985"/>
        <n v="5883296"/>
        <n v="4046935"/>
        <n v="11242331"/>
        <n v="8535762"/>
        <n v="1509157"/>
        <n v="4681277"/>
        <n v="10298126"/>
        <n v="11440970"/>
        <n v="11227680"/>
        <n v="2146413"/>
        <n v="3620800"/>
        <n v="6151954"/>
        <n v="11405286"/>
        <n v="8709044"/>
        <n v="2030610"/>
        <n v="12836671"/>
        <n v="6479765"/>
        <n v="3173144"/>
        <n v="1958503"/>
        <n v="1677940"/>
        <n v="6745290"/>
        <n v="4807943"/>
        <n v="12673423"/>
        <n v="8975634"/>
        <n v="9494865"/>
        <n v="8256500"/>
        <n v="5340283"/>
        <n v="10858745"/>
        <n v="7819901"/>
        <n v="12058536"/>
        <n v="4210726"/>
        <n v="9949450"/>
        <n v="9887477"/>
        <n v="7072541"/>
        <n v="2542036"/>
        <n v="10766016"/>
        <n v="5175651"/>
        <n v="12027453"/>
        <n v="3336341"/>
        <n v="1857532"/>
        <n v="4232309"/>
        <n v="5870889"/>
        <n v="11563246"/>
        <n v="2407700"/>
        <n v="2780128"/>
        <n v="12217945"/>
        <n v="12202772"/>
        <n v="6869429"/>
        <n v="10731758"/>
        <n v="5616115"/>
        <n v="2515070"/>
        <n v="12638915"/>
        <n v="11005988"/>
        <n v="10756123"/>
        <n v="4312673"/>
        <n v="6450429"/>
        <n v="2702333"/>
        <n v="1803995"/>
        <n v="11169727"/>
        <n v="5607990"/>
        <n v="2998724"/>
        <n v="10840653"/>
        <n v="5909919"/>
        <n v="12058708"/>
        <n v="4420534"/>
        <n v="11414947"/>
        <n v="2934965"/>
        <n v="7904928"/>
        <n v="12852768"/>
        <n v="12961441"/>
        <n v="4432993"/>
        <n v="8502290"/>
        <n v="12200841"/>
        <n v="3820086"/>
        <n v="5889920"/>
        <n v="5311155"/>
        <n v="3918202"/>
        <n v="8265686"/>
        <n v="6683177"/>
        <n v="11116523"/>
        <n v="6601309"/>
        <n v="12194666"/>
        <n v="6423909"/>
        <n v="2095090"/>
        <n v="11577555"/>
        <n v="9480077"/>
        <n v="6165235"/>
        <n v="5586638"/>
        <n v="2738817"/>
        <n v="8824396"/>
        <n v="11304553"/>
        <n v="12601027"/>
        <n v="7113297"/>
        <n v="7453075"/>
        <n v="9369565"/>
        <n v="12077401"/>
        <n v="12914993"/>
        <n v="2125282"/>
        <n v="10342366"/>
        <n v="10476487"/>
        <n v="6602424"/>
        <n v="1903803"/>
        <n v="4718844"/>
        <n v="6054278"/>
        <n v="6477508"/>
        <n v="4164328"/>
        <n v="7596133"/>
        <n v="12803282"/>
        <n v="12282027"/>
        <n v="2680465"/>
        <n v="9804777"/>
        <n v="1990497"/>
        <n v="11054379"/>
        <n v="12555939"/>
        <n v="1615146"/>
        <n v="4708801"/>
        <n v="4355874"/>
        <n v="2165883"/>
        <n v="2659500"/>
        <n v="11860819"/>
        <n v="12532183"/>
        <n v="12005522"/>
        <n v="3743236"/>
        <n v="5828552"/>
        <n v="11241385"/>
        <n v="3860017"/>
        <n v="9758443"/>
        <n v="8026752"/>
        <n v="11751335"/>
        <n v="12267594"/>
        <n v="4257740"/>
        <n v="9058870"/>
      </sharedItems>
    </cacheField>
    <cacheField name="Agent_Name" numFmtId="0">
      <sharedItems count="9">
        <s v="Mary Garcia"/>
        <s v="Joy Ramos"/>
        <s v="John Dela Cruz"/>
        <s v="Anna Mendoza"/>
        <s v="Daniel Cruz"/>
        <s v="Rachel Villanueva"/>
        <s v="Michael Santos"/>
        <s v="Mark Reyes"/>
        <s v="Michelle Flores"/>
      </sharedItems>
    </cacheField>
    <cacheField name="Buyer_Type" numFmtId="0">
      <sharedItems count="4">
        <s v="OFW"/>
        <s v="Corporation"/>
        <s v="Investor"/>
        <s v="Individual"/>
      </sharedItems>
    </cacheField>
    <cacheField name="Payment_Method" numFmtId="0">
      <sharedItems/>
    </cacheField>
    <cacheField name="Days_on_Market" numFmtId="0">
      <sharedItems containsSemiMixedTypes="0" containsString="0" containsNumber="1" containsInteger="1" minValue="100" maxValue="400"/>
    </cacheField>
    <cacheField name="Commission_PHP" numFmtId="164">
      <sharedItems containsSemiMixedTypes="0" containsString="0" containsNumber="1" minValue="45232.259999999995" maxValue="389905.07999999996"/>
    </cacheField>
    <cacheField name="Discount_PHP" numFmtId="164">
      <sharedItems containsSemiMixedTypes="0" containsString="0" containsNumber="1" containsInteger="1" minValue="-12730294" maxValue="10003752"/>
    </cacheField>
    <cacheField name="Price per sqm" numFmtId="165">
      <sharedItems containsSemiMixedTypes="0" containsString="0" containsNumber="1" minValue="6499.8278688524588" maxValue="246092.57142857142"/>
    </cacheField>
    <cacheField name="Effective_Area_sqm" numFmtId="0">
      <sharedItems containsSemiMixedTypes="0" containsString="0" containsNumber="1" containsInteger="1" minValue="43" maxValue="250"/>
    </cacheField>
    <cacheField name="Discounted Rate" numFmtId="0">
      <sharedItems containsSemiMixedTypes="0" containsString="0" containsNumber="1" minValue="2001709.5131112898" maxValue="14989192.575631829"/>
    </cacheField>
    <cacheField name="Year" numFmtId="0">
      <sharedItems containsSemiMixedTypes="0" containsString="0" containsNumber="1" containsInteger="1" minValue="2018" maxValue="2026"/>
    </cacheField>
    <cacheField name="Month" numFmtId="9">
      <sharedItems count="99">
        <s v="Sep-2023"/>
        <s v="May-2024"/>
        <s v="Jul-2023"/>
        <s v="Feb-2024"/>
        <s v="Mar-2024"/>
        <s v="Oct-2022"/>
        <s v="Oct-2023"/>
        <s v="Mar-2025"/>
        <s v="Jun-2020"/>
        <s v="Sep-2021"/>
        <s v="Apr-2020"/>
        <s v="Jun-2018"/>
        <s v="Sep-2024"/>
        <s v="Jul-2022"/>
        <s v="Nov-2022"/>
        <s v="Dec-2022"/>
        <s v="Dec-2018"/>
        <s v="Nov-2024"/>
        <s v="May-2019"/>
        <s v="Oct-2021"/>
        <s v="Aug-2022"/>
        <s v="Jun-2019"/>
        <s v="Jan-2026"/>
        <s v="Feb-2022"/>
        <s v="Nov-2025"/>
        <s v="May-2020"/>
        <s v="Mar-2019"/>
        <s v="Mar-2021"/>
        <s v="Feb-2025"/>
        <s v="Jul-2021"/>
        <s v="May-2018"/>
        <s v="Oct-2024"/>
        <s v="Mar-2022"/>
        <s v="Feb-2018"/>
        <s v="Dec-2020"/>
        <s v="Dec-2023"/>
        <s v="Oct-2018"/>
        <s v="Mar-2026"/>
        <s v="Mar-2018"/>
        <s v="Aug-2025"/>
        <s v="Aug-2021"/>
        <s v="Apr-2024"/>
        <s v="Jun-2025"/>
        <s v="Jan-2018"/>
        <s v="Sep-2025"/>
        <s v="Jul-2019"/>
        <s v="Sep-2022"/>
        <s v="Feb-2019"/>
        <s v="Jul-2020"/>
        <s v="Nov-2023"/>
        <s v="Nov-2020"/>
        <s v="Feb-2020"/>
        <s v="Feb-2026"/>
        <s v="Feb-2021"/>
        <s v="Jan-2021"/>
        <s v="Apr-2022"/>
        <s v="Jul-2018"/>
        <s v="Jan-2019"/>
        <s v="Jan-2025"/>
        <s v="Sep-2019"/>
        <s v="Oct-2020"/>
        <s v="Aug-2020"/>
        <s v="Sep-2018"/>
        <s v="Mar-2020"/>
        <s v="May-2023"/>
        <s v="Oct-2025"/>
        <s v="Apr-2023"/>
        <s v="Nov-2018"/>
        <s v="Jun-2023"/>
        <s v="Jun-2021"/>
        <s v="Nov-2021"/>
        <s v="Aug-2019"/>
        <s v="Sep-2020"/>
        <s v="Aug-2024"/>
        <s v="Aug-2018"/>
        <s v="Jan-2023"/>
        <s v="Jul-2024"/>
        <s v="Jun-2024"/>
        <s v="Oct-2019"/>
        <s v="May-2022"/>
        <s v="Nov-2019"/>
        <s v="Dec-2019"/>
        <s v="Jan-2024"/>
        <s v="May-2025"/>
        <s v="May-2021"/>
        <s v="Apr-2019"/>
        <s v="Jun-2022"/>
        <s v="Dec-2024"/>
        <s v="Apr-2021"/>
        <s v="Apr-2018"/>
        <s v="Jan-2022"/>
        <s v="Aug-2023"/>
        <s v="Jul-2025"/>
        <s v="Mar-2023"/>
        <s v="Dec-2021"/>
        <s v="Apr-2025"/>
        <s v="Jan-2020"/>
        <s v="Feb-2023"/>
        <s v="Dec-2025"/>
      </sharedItems>
    </cacheField>
    <cacheField name="Quarters" numFmtId="0" databaseField="0">
      <fieldGroup base="1">
        <rangePr groupBy="quarters" startDate="2018-01-08T00:00:00" endDate="2026-04-01T00:00:00"/>
        <groupItems count="6">
          <s v="&lt;1/8/2018"/>
          <s v="Qtr1"/>
          <s v="Qtr2"/>
          <s v="Qtr3"/>
          <s v="Qtr4"/>
          <s v="&gt;4/1/2026"/>
        </groupItems>
      </fieldGroup>
    </cacheField>
    <cacheField name="Years" numFmtId="0" databaseField="0">
      <fieldGroup base="1">
        <rangePr groupBy="years" startDate="2018-01-08T00:00:00" endDate="2026-04-01T00:00:00"/>
        <groupItems count="11">
          <s v="&lt;1/8/2018"/>
          <s v="2018"/>
          <s v="2019"/>
          <s v="2020"/>
          <s v="2021"/>
          <s v="2022"/>
          <s v="2023"/>
          <s v="2024"/>
          <s v="2025"/>
          <s v="2026"/>
          <s v="&gt;4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x v="0"/>
    <x v="0"/>
    <n v="2"/>
    <n v="3"/>
    <n v="139"/>
    <n v="120"/>
    <n v="2021"/>
    <n v="7029656"/>
    <x v="0"/>
    <x v="0"/>
    <x v="0"/>
    <s v="Bank Loan"/>
    <n v="105"/>
    <n v="116839.73999999999"/>
    <n v="-3134998"/>
    <n v="32455.483333333334"/>
    <n v="120"/>
    <n v="7029656.4459674843"/>
    <n v="2023"/>
    <x v="0"/>
  </r>
  <r>
    <x v="1"/>
    <x v="1"/>
    <x v="1"/>
    <x v="0"/>
    <n v="3"/>
    <n v="2"/>
    <n v="148"/>
    <n v="166"/>
    <n v="2019"/>
    <n v="10693130"/>
    <x v="1"/>
    <x v="1"/>
    <x v="1"/>
    <s v="Pag-IBIG Loan"/>
    <n v="100"/>
    <n v="330835.40999999997"/>
    <n v="334717"/>
    <n v="66432.813253012049"/>
    <n v="166"/>
    <n v="10693129.968697939"/>
    <n v="2024"/>
    <x v="1"/>
  </r>
  <r>
    <x v="2"/>
    <x v="2"/>
    <x v="1"/>
    <x v="0"/>
    <n v="2"/>
    <n v="3"/>
    <n v="143"/>
    <n v="81"/>
    <n v="2017"/>
    <n v="13877846"/>
    <x v="2"/>
    <x v="2"/>
    <x v="0"/>
    <s v="Cash"/>
    <n v="119"/>
    <n v="185520.81"/>
    <n v="-7693819"/>
    <n v="76346.012345679017"/>
    <n v="81"/>
    <n v="13877846.554395761"/>
    <n v="2023"/>
    <x v="2"/>
  </r>
  <r>
    <x v="3"/>
    <x v="3"/>
    <x v="2"/>
    <x v="0"/>
    <n v="2"/>
    <n v="4"/>
    <n v="143"/>
    <n v="117"/>
    <n v="2019"/>
    <n v="14443267"/>
    <x v="3"/>
    <x v="0"/>
    <x v="2"/>
    <s v="Installment"/>
    <n v="355"/>
    <n v="89301.18"/>
    <n v="-11466561"/>
    <n v="25441.931623931625"/>
    <n v="117"/>
    <n v="14443267.793903554"/>
    <n v="2024"/>
    <x v="3"/>
  </r>
  <r>
    <x v="4"/>
    <x v="4"/>
    <x v="1"/>
    <x v="1"/>
    <n v="3"/>
    <n v="4"/>
    <n v="91"/>
    <n v="213"/>
    <n v="2013"/>
    <n v="14178500"/>
    <x v="4"/>
    <x v="3"/>
    <x v="3"/>
    <s v="Cash"/>
    <n v="102"/>
    <n v="123028.44"/>
    <n v="-10077552"/>
    <n v="19253.276995305165"/>
    <n v="213"/>
    <n v="14178500.710762916"/>
    <n v="2024"/>
    <x v="4"/>
  </r>
  <r>
    <x v="5"/>
    <x v="5"/>
    <x v="3"/>
    <x v="1"/>
    <n v="1"/>
    <n v="2"/>
    <n v="121"/>
    <n v="210"/>
    <n v="2018"/>
    <n v="5382590"/>
    <x v="5"/>
    <x v="1"/>
    <x v="0"/>
    <s v="Cash"/>
    <n v="322"/>
    <n v="143719.29"/>
    <n v="-591947"/>
    <n v="39592.090909090912"/>
    <n v="121"/>
    <n v="5382590.1099743806"/>
    <n v="2022"/>
    <x v="5"/>
  </r>
  <r>
    <x v="6"/>
    <x v="6"/>
    <x v="0"/>
    <x v="2"/>
    <n v="4"/>
    <n v="3"/>
    <n v="82"/>
    <n v="129"/>
    <n v="2010"/>
    <n v="4573259"/>
    <x v="6"/>
    <x v="1"/>
    <x v="3"/>
    <s v="Bank Loan"/>
    <n v="383"/>
    <n v="297439.26"/>
    <n v="5341383"/>
    <n v="76857.689922480626"/>
    <n v="129"/>
    <n v="4573257.8320401274"/>
    <n v="2023"/>
    <x v="6"/>
  </r>
  <r>
    <x v="7"/>
    <x v="7"/>
    <x v="0"/>
    <x v="2"/>
    <n v="4"/>
    <n v="2"/>
    <n v="61"/>
    <n v="65"/>
    <n v="2017"/>
    <n v="14558162"/>
    <x v="7"/>
    <x v="0"/>
    <x v="2"/>
    <s v="Pag-IBIG Loan"/>
    <n v="357"/>
    <n v="332447.37"/>
    <n v="-3476583"/>
    <n v="170485.83076923076"/>
    <n v="65"/>
    <n v="14558162.238806451"/>
    <n v="2025"/>
    <x v="7"/>
  </r>
  <r>
    <x v="8"/>
    <x v="8"/>
    <x v="1"/>
    <x v="1"/>
    <n v="1"/>
    <n v="2"/>
    <n v="104"/>
    <n v="103"/>
    <n v="2020"/>
    <n v="13289781"/>
    <x v="8"/>
    <x v="4"/>
    <x v="1"/>
    <s v="Installment"/>
    <n v="167"/>
    <n v="378867.83999999997"/>
    <n v="-660853"/>
    <n v="122610.95145631068"/>
    <n v="103"/>
    <n v="13289781.049726402"/>
    <n v="2020"/>
    <x v="8"/>
  </r>
  <r>
    <x v="9"/>
    <x v="9"/>
    <x v="1"/>
    <x v="3"/>
    <n v="2"/>
    <n v="1"/>
    <n v="186"/>
    <n v="244"/>
    <n v="2023"/>
    <n v="2769086"/>
    <x v="9"/>
    <x v="1"/>
    <x v="0"/>
    <s v="Pag-IBIG Loan"/>
    <n v="226"/>
    <n v="161578.22999999998"/>
    <n v="2616855"/>
    <n v="22073.528688524591"/>
    <n v="244"/>
    <n v="2769085.0549751795"/>
    <n v="2021"/>
    <x v="9"/>
  </r>
  <r>
    <x v="10"/>
    <x v="10"/>
    <x v="2"/>
    <x v="2"/>
    <n v="4"/>
    <n v="4"/>
    <n v="63"/>
    <n v="84"/>
    <n v="2020"/>
    <n v="5275180"/>
    <x v="10"/>
    <x v="5"/>
    <x v="1"/>
    <s v="Cash"/>
    <n v="227"/>
    <n v="166200.44999999998"/>
    <n v="264835"/>
    <n v="65952.559523809527"/>
    <n v="84"/>
    <n v="5275179.9497960256"/>
    <n v="2020"/>
    <x v="10"/>
  </r>
  <r>
    <x v="11"/>
    <x v="11"/>
    <x v="2"/>
    <x v="3"/>
    <n v="3"/>
    <n v="4"/>
    <n v="89"/>
    <n v="211"/>
    <n v="2015"/>
    <n v="8254575"/>
    <x v="11"/>
    <x v="1"/>
    <x v="0"/>
    <s v="Bank Loan"/>
    <n v="366"/>
    <n v="172876.13999999998"/>
    <n v="-2492037"/>
    <n v="27310.60663507109"/>
    <n v="211"/>
    <n v="8254575.3018976748"/>
    <n v="2018"/>
    <x v="11"/>
  </r>
  <r>
    <x v="12"/>
    <x v="12"/>
    <x v="1"/>
    <x v="1"/>
    <n v="3"/>
    <n v="2"/>
    <n v="138"/>
    <n v="208"/>
    <n v="2020"/>
    <n v="14565983"/>
    <x v="12"/>
    <x v="5"/>
    <x v="1"/>
    <s v="Cash"/>
    <n v="225"/>
    <n v="89493.3"/>
    <n v="-11582873"/>
    <n v="14341.875"/>
    <n v="208"/>
    <n v="14565983.795200229"/>
    <n v="2024"/>
    <x v="12"/>
  </r>
  <r>
    <x v="13"/>
    <x v="13"/>
    <x v="3"/>
    <x v="2"/>
    <n v="2"/>
    <n v="1"/>
    <n v="159"/>
    <n v="198"/>
    <n v="2011"/>
    <n v="12543145"/>
    <x v="13"/>
    <x v="0"/>
    <x v="2"/>
    <s v="Installment"/>
    <n v="205"/>
    <n v="301894.40999999997"/>
    <n v="-2479998"/>
    <n v="63290.232704402515"/>
    <n v="159"/>
    <n v="12543145.197717398"/>
    <n v="2024"/>
    <x v="12"/>
  </r>
  <r>
    <x v="14"/>
    <x v="14"/>
    <x v="1"/>
    <x v="0"/>
    <n v="3"/>
    <n v="1"/>
    <n v="52"/>
    <n v="226"/>
    <n v="2013"/>
    <n v="12120069"/>
    <x v="14"/>
    <x v="6"/>
    <x v="2"/>
    <s v="Installment"/>
    <n v="312"/>
    <n v="99649.83"/>
    <n v="-8798408"/>
    <n v="14697.615044247788"/>
    <n v="226"/>
    <n v="12120069.725937121"/>
    <n v="2022"/>
    <x v="13"/>
  </r>
  <r>
    <x v="15"/>
    <x v="15"/>
    <x v="0"/>
    <x v="1"/>
    <n v="2"/>
    <n v="3"/>
    <n v="155"/>
    <n v="53"/>
    <n v="2013"/>
    <n v="5605404"/>
    <x v="15"/>
    <x v="7"/>
    <x v="2"/>
    <s v="Cash"/>
    <n v="230"/>
    <n v="209270.63999999998"/>
    <n v="1370284"/>
    <n v="131616.75471698114"/>
    <n v="53"/>
    <n v="5605403.7555423304"/>
    <n v="2022"/>
    <x v="14"/>
  </r>
  <r>
    <x v="16"/>
    <x v="16"/>
    <x v="0"/>
    <x v="2"/>
    <n v="2"/>
    <n v="4"/>
    <n v="114"/>
    <n v="54"/>
    <n v="2011"/>
    <n v="2645378"/>
    <x v="16"/>
    <x v="3"/>
    <x v="1"/>
    <s v="Installment"/>
    <n v="287"/>
    <n v="255061.41"/>
    <n v="5856669"/>
    <n v="157445.3148148148"/>
    <n v="54"/>
    <n v="2645375.7860748065"/>
    <n v="2024"/>
    <x v="12"/>
  </r>
  <r>
    <x v="17"/>
    <x v="17"/>
    <x v="2"/>
    <x v="3"/>
    <n v="4"/>
    <n v="4"/>
    <n v="77"/>
    <n v="51"/>
    <n v="2016"/>
    <n v="5929917"/>
    <x v="17"/>
    <x v="8"/>
    <x v="2"/>
    <s v="Cash"/>
    <n v="232"/>
    <n v="154402.74"/>
    <n v="-783159"/>
    <n v="100916.82352941176"/>
    <n v="51"/>
    <n v="5929917.1320691332"/>
    <n v="2022"/>
    <x v="13"/>
  </r>
  <r>
    <x v="18"/>
    <x v="18"/>
    <x v="0"/>
    <x v="3"/>
    <n v="3"/>
    <n v="1"/>
    <n v="165"/>
    <n v="213"/>
    <n v="2014"/>
    <n v="8882189"/>
    <x v="18"/>
    <x v="5"/>
    <x v="0"/>
    <s v="Pag-IBIG Loan"/>
    <n v="366"/>
    <n v="322905"/>
    <n v="1881311"/>
    <n v="50532.863849765257"/>
    <n v="213"/>
    <n v="8882188.7881928664"/>
    <n v="2022"/>
    <x v="15"/>
  </r>
  <r>
    <x v="19"/>
    <x v="19"/>
    <x v="2"/>
    <x v="0"/>
    <n v="3"/>
    <n v="3"/>
    <n v="115"/>
    <n v="192"/>
    <n v="2022"/>
    <n v="2380271"/>
    <x v="19"/>
    <x v="7"/>
    <x v="0"/>
    <s v="Pag-IBIG Loan"/>
    <n v="275"/>
    <n v="102438.42"/>
    <n v="1034343"/>
    <n v="17784.447916666668"/>
    <n v="192"/>
    <n v="2380270.565451581"/>
    <n v="2018"/>
    <x v="16"/>
  </r>
  <r>
    <x v="20"/>
    <x v="20"/>
    <x v="3"/>
    <x v="0"/>
    <n v="2"/>
    <n v="4"/>
    <n v="79"/>
    <n v="152"/>
    <n v="2017"/>
    <n v="2972368"/>
    <x v="20"/>
    <x v="8"/>
    <x v="0"/>
    <s v="Installment"/>
    <n v="372"/>
    <n v="178744.88999999998"/>
    <n v="2985795"/>
    <n v="75419.784810126584"/>
    <n v="79"/>
    <n v="2972366.995482726"/>
    <n v="2024"/>
    <x v="17"/>
  </r>
  <r>
    <x v="21"/>
    <x v="21"/>
    <x v="1"/>
    <x v="2"/>
    <n v="1"/>
    <n v="1"/>
    <n v="200"/>
    <n v="199"/>
    <n v="2017"/>
    <n v="8124008"/>
    <x v="21"/>
    <x v="4"/>
    <x v="1"/>
    <s v="Pag-IBIG Loan"/>
    <n v="273"/>
    <n v="370187.55"/>
    <n v="4215577"/>
    <n v="62007.964824120601"/>
    <n v="199"/>
    <n v="8124007.4810963999"/>
    <n v="2019"/>
    <x v="18"/>
  </r>
  <r>
    <x v="22"/>
    <x v="22"/>
    <x v="3"/>
    <x v="0"/>
    <n v="2"/>
    <n v="3"/>
    <n v="97"/>
    <n v="58"/>
    <n v="2023"/>
    <n v="11510984"/>
    <x v="22"/>
    <x v="5"/>
    <x v="2"/>
    <s v="Cash"/>
    <n v="386"/>
    <n v="208747.28999999998"/>
    <n v="-4552741"/>
    <n v="71734.463917525776"/>
    <n v="97"/>
    <n v="11510984.395512756"/>
    <n v="2021"/>
    <x v="19"/>
  </r>
  <r>
    <x v="23"/>
    <x v="23"/>
    <x v="0"/>
    <x v="1"/>
    <n v="3"/>
    <n v="3"/>
    <n v="139"/>
    <n v="117"/>
    <n v="2012"/>
    <n v="14869204"/>
    <x v="23"/>
    <x v="2"/>
    <x v="2"/>
    <s v="Installment"/>
    <n v="146"/>
    <n v="228218.81999999998"/>
    <n v="-7261910"/>
    <n v="65019.606837606836"/>
    <n v="117"/>
    <n v="14869204.488385929"/>
    <n v="2022"/>
    <x v="20"/>
  </r>
  <r>
    <x v="24"/>
    <x v="24"/>
    <x v="3"/>
    <x v="1"/>
    <n v="4"/>
    <n v="1"/>
    <n v="54"/>
    <n v="124"/>
    <n v="2017"/>
    <n v="12610519"/>
    <x v="24"/>
    <x v="0"/>
    <x v="2"/>
    <s v="Installment"/>
    <n v="381"/>
    <n v="239693.13"/>
    <n v="-4620748"/>
    <n v="147958.72222222222"/>
    <n v="54"/>
    <n v="12610519.366420129"/>
    <n v="2024"/>
    <x v="17"/>
  </r>
  <r>
    <x v="25"/>
    <x v="25"/>
    <x v="3"/>
    <x v="2"/>
    <n v="1"/>
    <n v="4"/>
    <n v="143"/>
    <n v="245"/>
    <n v="2014"/>
    <n v="11134683"/>
    <x v="25"/>
    <x v="6"/>
    <x v="0"/>
    <s v="Cash"/>
    <n v="140"/>
    <n v="126243.56999999999"/>
    <n v="-6926564"/>
    <n v="29427.405594405594"/>
    <n v="143"/>
    <n v="11134683.622071056"/>
    <n v="2019"/>
    <x v="21"/>
  </r>
  <r>
    <x v="26"/>
    <x v="26"/>
    <x v="3"/>
    <x v="2"/>
    <n v="1"/>
    <n v="1"/>
    <n v="81"/>
    <n v="211"/>
    <n v="2016"/>
    <n v="11625073"/>
    <x v="26"/>
    <x v="2"/>
    <x v="0"/>
    <s v="Pag-IBIG Loan"/>
    <n v="223"/>
    <n v="206421.72"/>
    <n v="-4744349"/>
    <n v="84947.209876543217"/>
    <n v="81"/>
    <n v="11625073.40811348"/>
    <n v="2022"/>
    <x v="15"/>
  </r>
  <r>
    <x v="27"/>
    <x v="27"/>
    <x v="3"/>
    <x v="0"/>
    <n v="4"/>
    <n v="1"/>
    <n v="146"/>
    <n v="82"/>
    <n v="2021"/>
    <n v="13256152"/>
    <x v="27"/>
    <x v="0"/>
    <x v="2"/>
    <s v="Pag-IBIG Loan"/>
    <n v="100"/>
    <n v="280425.14999999997"/>
    <n v="-3908647"/>
    <n v="64024.006849315068"/>
    <n v="146"/>
    <n v="13256152.294855325"/>
    <n v="2026"/>
    <x v="22"/>
  </r>
  <r>
    <x v="28"/>
    <x v="28"/>
    <x v="2"/>
    <x v="1"/>
    <n v="2"/>
    <n v="2"/>
    <n v="189"/>
    <n v="62"/>
    <n v="2020"/>
    <n v="8183216"/>
    <x v="28"/>
    <x v="4"/>
    <x v="1"/>
    <s v="Installment"/>
    <n v="311"/>
    <n v="236699.13"/>
    <n v="-293245"/>
    <n v="127257.59677419355"/>
    <n v="62"/>
    <n v="8183216.0358349336"/>
    <n v="2022"/>
    <x v="23"/>
  </r>
  <r>
    <x v="29"/>
    <x v="29"/>
    <x v="1"/>
    <x v="0"/>
    <n v="1"/>
    <n v="2"/>
    <n v="53"/>
    <n v="137"/>
    <n v="2011"/>
    <n v="2547826"/>
    <x v="29"/>
    <x v="3"/>
    <x v="3"/>
    <s v="Bank Loan"/>
    <n v="355"/>
    <n v="372749.57999999996"/>
    <n v="9877160"/>
    <n v="90693.328467153289"/>
    <n v="137"/>
    <n v="2547822.1232988439"/>
    <n v="2025"/>
    <x v="24"/>
  </r>
  <r>
    <x v="30"/>
    <x v="30"/>
    <x v="3"/>
    <x v="0"/>
    <n v="1"/>
    <n v="4"/>
    <n v="72"/>
    <n v="133"/>
    <n v="2015"/>
    <n v="7415412"/>
    <x v="30"/>
    <x v="6"/>
    <x v="0"/>
    <s v="Pag-IBIG Loan"/>
    <n v="296"/>
    <n v="302855.96999999997"/>
    <n v="2679787"/>
    <n v="140211.09722222222"/>
    <n v="72"/>
    <n v="7415411.6386192702"/>
    <n v="2020"/>
    <x v="25"/>
  </r>
  <r>
    <x v="31"/>
    <x v="31"/>
    <x v="0"/>
    <x v="0"/>
    <n v="3"/>
    <n v="1"/>
    <n v="198"/>
    <n v="124"/>
    <n v="2012"/>
    <n v="13053837"/>
    <x v="31"/>
    <x v="7"/>
    <x v="0"/>
    <s v="Installment"/>
    <n v="190"/>
    <n v="156158.34"/>
    <n v="-7848559"/>
    <n v="41978.048387096773"/>
    <n v="124"/>
    <n v="13053837.601245366"/>
    <n v="2019"/>
    <x v="26"/>
  </r>
  <r>
    <x v="32"/>
    <x v="32"/>
    <x v="3"/>
    <x v="3"/>
    <n v="1"/>
    <n v="3"/>
    <n v="122"/>
    <n v="89"/>
    <n v="2023"/>
    <n v="10742694"/>
    <x v="32"/>
    <x v="5"/>
    <x v="3"/>
    <s v="Cash"/>
    <n v="396"/>
    <n v="192296.19"/>
    <n v="-4332821"/>
    <n v="52539.942622950817"/>
    <n v="122"/>
    <n v="10742694.403327229"/>
    <n v="2021"/>
    <x v="27"/>
  </r>
  <r>
    <x v="33"/>
    <x v="33"/>
    <x v="1"/>
    <x v="2"/>
    <n v="3"/>
    <n v="3"/>
    <n v="129"/>
    <n v="98"/>
    <n v="2018"/>
    <n v="13556668"/>
    <x v="33"/>
    <x v="7"/>
    <x v="1"/>
    <s v="Installment"/>
    <n v="135"/>
    <n v="330448.17"/>
    <n v="-2541729"/>
    <n v="112397.33673469388"/>
    <n v="98"/>
    <n v="13556668.187489212"/>
    <n v="2025"/>
    <x v="28"/>
  </r>
  <r>
    <x v="34"/>
    <x v="34"/>
    <x v="2"/>
    <x v="3"/>
    <n v="4"/>
    <n v="3"/>
    <n v="181"/>
    <n v="149"/>
    <n v="2012"/>
    <n v="13699583"/>
    <x v="34"/>
    <x v="5"/>
    <x v="3"/>
    <s v="Bank Loan"/>
    <n v="164"/>
    <n v="62989.17"/>
    <n v="-11599944"/>
    <n v="14091.536912751679"/>
    <n v="149"/>
    <n v="13699583.846737014"/>
    <n v="2021"/>
    <x v="29"/>
  </r>
  <r>
    <x v="35"/>
    <x v="35"/>
    <x v="3"/>
    <x v="3"/>
    <n v="2"/>
    <n v="2"/>
    <n v="183"/>
    <n v="206"/>
    <n v="2017"/>
    <n v="11931924"/>
    <x v="35"/>
    <x v="3"/>
    <x v="2"/>
    <s v="Pag-IBIG Loan"/>
    <n v="165"/>
    <n v="176429.19"/>
    <n v="-6050951"/>
    <n v="32136.464480874318"/>
    <n v="183"/>
    <n v="11931924.507122824"/>
    <n v="2018"/>
    <x v="30"/>
  </r>
  <r>
    <x v="36"/>
    <x v="36"/>
    <x v="0"/>
    <x v="1"/>
    <n v="3"/>
    <n v="4"/>
    <n v="138"/>
    <n v="175"/>
    <n v="2010"/>
    <n v="2604479"/>
    <x v="36"/>
    <x v="3"/>
    <x v="0"/>
    <s v="Pag-IBIG Loan"/>
    <n v="100"/>
    <n v="68440.89"/>
    <n v="-323116"/>
    <n v="13036.36"/>
    <n v="175"/>
    <n v="2604479.1240616646"/>
    <n v="2024"/>
    <x v="31"/>
  </r>
  <r>
    <x v="37"/>
    <x v="37"/>
    <x v="1"/>
    <x v="3"/>
    <n v="2"/>
    <n v="1"/>
    <n v="76"/>
    <n v="244"/>
    <n v="2016"/>
    <n v="2755192"/>
    <x v="37"/>
    <x v="0"/>
    <x v="3"/>
    <s v="Cash"/>
    <n v="168"/>
    <n v="47578.74"/>
    <n v="-1169234"/>
    <n v="6499.8278688524588"/>
    <n v="244"/>
    <n v="2755192.4243747806"/>
    <n v="2022"/>
    <x v="32"/>
  </r>
  <r>
    <x v="38"/>
    <x v="38"/>
    <x v="0"/>
    <x v="1"/>
    <n v="3"/>
    <n v="1"/>
    <n v="174"/>
    <n v="108"/>
    <n v="2013"/>
    <n v="12416799"/>
    <x v="38"/>
    <x v="3"/>
    <x v="1"/>
    <s v="Cash"/>
    <n v="285"/>
    <n v="71626.83"/>
    <n v="-10029238"/>
    <n v="22107.046296296296"/>
    <n v="108"/>
    <n v="12416799.807715258"/>
    <n v="2018"/>
    <x v="33"/>
  </r>
  <r>
    <x v="39"/>
    <x v="39"/>
    <x v="2"/>
    <x v="3"/>
    <n v="1"/>
    <n v="4"/>
    <n v="78"/>
    <n v="212"/>
    <n v="2023"/>
    <n v="2870741"/>
    <x v="39"/>
    <x v="6"/>
    <x v="2"/>
    <s v="Bank Loan"/>
    <n v="254"/>
    <n v="262422.57"/>
    <n v="5876678"/>
    <n v="41261.410377358494"/>
    <n v="212"/>
    <n v="2870738.952905539"/>
    <n v="2020"/>
    <x v="34"/>
  </r>
  <r>
    <x v="40"/>
    <x v="40"/>
    <x v="2"/>
    <x v="2"/>
    <n v="3"/>
    <n v="1"/>
    <n v="56"/>
    <n v="234"/>
    <n v="2017"/>
    <n v="9982070"/>
    <x v="40"/>
    <x v="8"/>
    <x v="0"/>
    <s v="Installment"/>
    <n v="123"/>
    <n v="351042.12"/>
    <n v="1719334"/>
    <n v="50006"/>
    <n v="234"/>
    <n v="9982069.8277577702"/>
    <n v="2024"/>
    <x v="3"/>
  </r>
  <r>
    <x v="41"/>
    <x v="41"/>
    <x v="3"/>
    <x v="1"/>
    <n v="4"/>
    <n v="4"/>
    <n v="82"/>
    <n v="215"/>
    <n v="2012"/>
    <n v="6528582"/>
    <x v="41"/>
    <x v="3"/>
    <x v="0"/>
    <s v="Bank Loan"/>
    <n v="239"/>
    <n v="119695.34999999999"/>
    <n v="-2538737"/>
    <n v="48656.646341463413"/>
    <n v="82"/>
    <n v="6528582.388864994"/>
    <n v="2023"/>
    <x v="35"/>
  </r>
  <r>
    <x v="42"/>
    <x v="42"/>
    <x v="0"/>
    <x v="1"/>
    <n v="2"/>
    <n v="2"/>
    <n v="118"/>
    <n v="224"/>
    <n v="2012"/>
    <n v="9031969"/>
    <x v="42"/>
    <x v="0"/>
    <x v="0"/>
    <s v="Pag-IBIG Loan"/>
    <n v="160"/>
    <n v="327993.69"/>
    <n v="1901154"/>
    <n v="48808.584821428572"/>
    <n v="224"/>
    <n v="9031968.7895083558"/>
    <n v="2018"/>
    <x v="36"/>
  </r>
  <r>
    <x v="43"/>
    <x v="43"/>
    <x v="1"/>
    <x v="2"/>
    <n v="4"/>
    <n v="1"/>
    <n v="51"/>
    <n v="53"/>
    <n v="2010"/>
    <n v="9659382"/>
    <x v="43"/>
    <x v="2"/>
    <x v="0"/>
    <s v="Installment"/>
    <n v="171"/>
    <n v="347458.98"/>
    <n v="1922584"/>
    <n v="218527.66037735849"/>
    <n v="53"/>
    <n v="9659381.8009620085"/>
    <n v="2026"/>
    <x v="37"/>
  </r>
  <r>
    <x v="44"/>
    <x v="44"/>
    <x v="1"/>
    <x v="3"/>
    <n v="4"/>
    <n v="3"/>
    <n v="107"/>
    <n v="188"/>
    <n v="2014"/>
    <n v="7780657"/>
    <x v="44"/>
    <x v="5"/>
    <x v="2"/>
    <s v="Bank Loan"/>
    <n v="192"/>
    <n v="54905.31"/>
    <n v="-5950480"/>
    <n v="9734.9840425531911"/>
    <n v="188"/>
    <n v="7780657.7647786038"/>
    <n v="2018"/>
    <x v="38"/>
  </r>
  <r>
    <x v="45"/>
    <x v="45"/>
    <x v="1"/>
    <x v="2"/>
    <n v="4"/>
    <n v="3"/>
    <n v="138"/>
    <n v="221"/>
    <n v="2016"/>
    <n v="10161516"/>
    <x v="45"/>
    <x v="2"/>
    <x v="1"/>
    <s v="Cash"/>
    <n v="229"/>
    <n v="189128.94"/>
    <n v="-3857218"/>
    <n v="28526.235294117647"/>
    <n v="221"/>
    <n v="10161516.379590802"/>
    <n v="2020"/>
    <x v="8"/>
  </r>
  <r>
    <x v="46"/>
    <x v="46"/>
    <x v="2"/>
    <x v="0"/>
    <n v="4"/>
    <n v="4"/>
    <n v="151"/>
    <n v="204"/>
    <n v="2016"/>
    <n v="2756364"/>
    <x v="46"/>
    <x v="5"/>
    <x v="0"/>
    <s v="Cash"/>
    <n v="310"/>
    <n v="279242.82"/>
    <n v="6551730"/>
    <n v="45627.911764705881"/>
    <n v="204"/>
    <n v="2756361.6230534138"/>
    <n v="2025"/>
    <x v="39"/>
  </r>
  <r>
    <x v="47"/>
    <x v="47"/>
    <x v="1"/>
    <x v="2"/>
    <n v="3"/>
    <n v="4"/>
    <n v="150"/>
    <n v="199"/>
    <n v="2017"/>
    <n v="9192226"/>
    <x v="47"/>
    <x v="2"/>
    <x v="1"/>
    <s v="Cash"/>
    <n v="317"/>
    <n v="90605.34"/>
    <n v="-6172048"/>
    <n v="15176.773869346735"/>
    <n v="199"/>
    <n v="9192226.6714421511"/>
    <n v="2021"/>
    <x v="40"/>
  </r>
  <r>
    <x v="48"/>
    <x v="48"/>
    <x v="0"/>
    <x v="3"/>
    <n v="4"/>
    <n v="2"/>
    <n v="139"/>
    <n v="154"/>
    <n v="2023"/>
    <n v="13622123"/>
    <x v="48"/>
    <x v="6"/>
    <x v="2"/>
    <s v="Bank Loan"/>
    <n v="339"/>
    <n v="353363.45999999996"/>
    <n v="-1843341"/>
    <n v="76485.597402597399"/>
    <n v="154"/>
    <n v="13622123.135319656"/>
    <n v="2024"/>
    <x v="41"/>
  </r>
  <r>
    <x v="49"/>
    <x v="49"/>
    <x v="0"/>
    <x v="1"/>
    <n v="3"/>
    <n v="2"/>
    <n v="148"/>
    <n v="213"/>
    <n v="2012"/>
    <n v="3370169"/>
    <x v="49"/>
    <x v="8"/>
    <x v="1"/>
    <s v="Installment"/>
    <n v="208"/>
    <n v="342849.26999999996"/>
    <n v="8058140"/>
    <n v="53654.032863849767"/>
    <n v="213"/>
    <n v="3370166.6089804401"/>
    <n v="2020"/>
    <x v="25"/>
  </r>
  <r>
    <x v="50"/>
    <x v="50"/>
    <x v="3"/>
    <x v="2"/>
    <n v="1"/>
    <n v="4"/>
    <n v="161"/>
    <n v="161"/>
    <n v="2018"/>
    <n v="12070459"/>
    <x v="50"/>
    <x v="0"/>
    <x v="1"/>
    <s v="Cash"/>
    <n v="282"/>
    <n v="128477.54999999999"/>
    <n v="-7787874"/>
    <n v="26599.906832298137"/>
    <n v="161"/>
    <n v="12070459.645201148"/>
    <n v="2025"/>
    <x v="42"/>
  </r>
  <r>
    <x v="51"/>
    <x v="51"/>
    <x v="3"/>
    <x v="3"/>
    <n v="2"/>
    <n v="1"/>
    <n v="59"/>
    <n v="116"/>
    <n v="2014"/>
    <n v="3682496"/>
    <x v="51"/>
    <x v="0"/>
    <x v="1"/>
    <s v="Cash"/>
    <n v="117"/>
    <n v="385488.26999999996"/>
    <n v="9167113"/>
    <n v="217789.98305084746"/>
    <n v="59"/>
    <n v="3682493.5106251305"/>
    <n v="2022"/>
    <x v="20"/>
  </r>
  <r>
    <x v="52"/>
    <x v="52"/>
    <x v="0"/>
    <x v="1"/>
    <n v="1"/>
    <n v="4"/>
    <n v="101"/>
    <n v="95"/>
    <n v="2013"/>
    <n v="6991615"/>
    <x v="52"/>
    <x v="5"/>
    <x v="1"/>
    <s v="Bank Loan"/>
    <n v="166"/>
    <n v="253779.59999999998"/>
    <n v="1467705"/>
    <n v="89045.473684210519"/>
    <n v="95"/>
    <n v="6991614.7900763983"/>
    <n v="2023"/>
    <x v="35"/>
  </r>
  <r>
    <x v="53"/>
    <x v="53"/>
    <x v="1"/>
    <x v="1"/>
    <n v="4"/>
    <n v="2"/>
    <n v="154"/>
    <n v="232"/>
    <n v="2023"/>
    <n v="3463618"/>
    <x v="53"/>
    <x v="1"/>
    <x v="0"/>
    <s v="Bank Loan"/>
    <n v="243"/>
    <n v="345523.64999999997"/>
    <n v="8053837"/>
    <n v="49644.202586206899"/>
    <n v="232"/>
    <n v="3463615.6747328951"/>
    <n v="2018"/>
    <x v="43"/>
  </r>
  <r>
    <x v="54"/>
    <x v="54"/>
    <x v="2"/>
    <x v="2"/>
    <n v="2"/>
    <n v="2"/>
    <n v="42"/>
    <n v="160"/>
    <n v="2023"/>
    <n v="3219573"/>
    <x v="54"/>
    <x v="7"/>
    <x v="3"/>
    <s v="Pag-IBIG Loan"/>
    <n v="282"/>
    <n v="227683.94999999998"/>
    <n v="4369892"/>
    <n v="47434.15625"/>
    <n v="160"/>
    <n v="3219571.642710695"/>
    <n v="2025"/>
    <x v="44"/>
  </r>
  <r>
    <x v="55"/>
    <x v="55"/>
    <x v="2"/>
    <x v="1"/>
    <n v="2"/>
    <n v="4"/>
    <n v="114"/>
    <n v="248"/>
    <n v="2022"/>
    <n v="14758651"/>
    <x v="55"/>
    <x v="3"/>
    <x v="3"/>
    <s v="Cash"/>
    <n v="195"/>
    <n v="154168.35"/>
    <n v="-9619706"/>
    <n v="20721.552419354837"/>
    <n v="248"/>
    <n v="14758651.651801171"/>
    <n v="2019"/>
    <x v="45"/>
  </r>
  <r>
    <x v="56"/>
    <x v="56"/>
    <x v="2"/>
    <x v="3"/>
    <n v="4"/>
    <n v="3"/>
    <n v="143"/>
    <n v="198"/>
    <n v="2018"/>
    <n v="3935571"/>
    <x v="56"/>
    <x v="0"/>
    <x v="3"/>
    <s v="Installment"/>
    <n v="218"/>
    <n v="251506.56"/>
    <n v="4447981"/>
    <n v="42341.171717171717"/>
    <n v="198"/>
    <n v="3935569.8698003418"/>
    <n v="2018"/>
    <x v="38"/>
  </r>
  <r>
    <x v="57"/>
    <x v="57"/>
    <x v="1"/>
    <x v="1"/>
    <n v="2"/>
    <n v="3"/>
    <n v="163"/>
    <n v="158"/>
    <n v="2020"/>
    <n v="3361783"/>
    <x v="57"/>
    <x v="2"/>
    <x v="3"/>
    <s v="Installment"/>
    <n v="270"/>
    <n v="58442.79"/>
    <n v="-1413690"/>
    <n v="12329.702531645569"/>
    <n v="158"/>
    <n v="3361783.4205179214"/>
    <n v="2022"/>
    <x v="46"/>
  </r>
  <r>
    <x v="58"/>
    <x v="58"/>
    <x v="2"/>
    <x v="3"/>
    <n v="2"/>
    <n v="1"/>
    <n v="162"/>
    <n v="107"/>
    <n v="2017"/>
    <n v="8549840"/>
    <x v="58"/>
    <x v="3"/>
    <x v="3"/>
    <s v="Pag-IBIG Loan"/>
    <n v="168"/>
    <n v="346403.67"/>
    <n v="2996949"/>
    <n v="107913.91588785047"/>
    <n v="107"/>
    <n v="8549839.6494730897"/>
    <n v="2020"/>
    <x v="25"/>
  </r>
  <r>
    <x v="59"/>
    <x v="59"/>
    <x v="2"/>
    <x v="3"/>
    <n v="3"/>
    <n v="1"/>
    <n v="176"/>
    <n v="52"/>
    <n v="2018"/>
    <n v="4511063"/>
    <x v="59"/>
    <x v="1"/>
    <x v="2"/>
    <s v="Pag-IBIG Loan"/>
    <n v="276"/>
    <n v="134233.79999999999"/>
    <n v="-36603"/>
    <n v="86047.307692307688"/>
    <n v="52"/>
    <n v="4511063.008114052"/>
    <n v="2019"/>
    <x v="47"/>
  </r>
  <r>
    <x v="60"/>
    <x v="60"/>
    <x v="2"/>
    <x v="1"/>
    <n v="3"/>
    <n v="1"/>
    <n v="119"/>
    <n v="198"/>
    <n v="2019"/>
    <n v="7130129"/>
    <x v="60"/>
    <x v="0"/>
    <x v="0"/>
    <s v="Pag-IBIG Loan"/>
    <n v="196"/>
    <n v="179977.74"/>
    <n v="-1130871"/>
    <n v="30299.282828282827"/>
    <n v="198"/>
    <n v="7130129.1586045641"/>
    <n v="2025"/>
    <x v="39"/>
  </r>
  <r>
    <x v="61"/>
    <x v="61"/>
    <x v="2"/>
    <x v="0"/>
    <n v="4"/>
    <n v="2"/>
    <n v="151"/>
    <n v="189"/>
    <n v="2018"/>
    <n v="14108314"/>
    <x v="61"/>
    <x v="2"/>
    <x v="0"/>
    <s v="Installment"/>
    <n v="152"/>
    <n v="236948.91"/>
    <n v="-6210017"/>
    <n v="41789.931216931218"/>
    <n v="189"/>
    <n v="14108314.440167194"/>
    <n v="2020"/>
    <x v="48"/>
  </r>
  <r>
    <x v="62"/>
    <x v="62"/>
    <x v="2"/>
    <x v="0"/>
    <n v="4"/>
    <n v="2"/>
    <n v="58"/>
    <n v="89"/>
    <n v="2015"/>
    <n v="6857708"/>
    <x v="62"/>
    <x v="1"/>
    <x v="2"/>
    <s v="Cash"/>
    <n v="318"/>
    <n v="59404.68"/>
    <n v="-4877552"/>
    <n v="22248.943820224718"/>
    <n v="89"/>
    <n v="6857708.7112510474"/>
    <n v="2023"/>
    <x v="49"/>
  </r>
  <r>
    <x v="63"/>
    <x v="63"/>
    <x v="1"/>
    <x v="0"/>
    <n v="3"/>
    <n v="3"/>
    <n v="77"/>
    <n v="233"/>
    <n v="2015"/>
    <n v="14956265"/>
    <x v="63"/>
    <x v="2"/>
    <x v="1"/>
    <s v="Cash"/>
    <n v="208"/>
    <n v="229839.50999999998"/>
    <n v="-7294948"/>
    <n v="32881.188841201714"/>
    <n v="233"/>
    <n v="14956265.487751989"/>
    <n v="2022"/>
    <x v="14"/>
  </r>
  <r>
    <x v="64"/>
    <x v="64"/>
    <x v="2"/>
    <x v="2"/>
    <n v="3"/>
    <n v="4"/>
    <n v="43"/>
    <n v="180"/>
    <n v="2023"/>
    <n v="5995737"/>
    <x v="64"/>
    <x v="8"/>
    <x v="1"/>
    <s v="Bank Loan"/>
    <n v="229"/>
    <n v="191585.75999999998"/>
    <n v="390455"/>
    <n v="35478.844444444447"/>
    <n v="180"/>
    <n v="5995736.9348778976"/>
    <n v="2020"/>
    <x v="50"/>
  </r>
  <r>
    <x v="65"/>
    <x v="65"/>
    <x v="2"/>
    <x v="2"/>
    <n v="3"/>
    <n v="1"/>
    <n v="196"/>
    <n v="53"/>
    <n v="2020"/>
    <n v="6630662"/>
    <x v="65"/>
    <x v="8"/>
    <x v="1"/>
    <s v="Pag-IBIG Loan"/>
    <n v="124"/>
    <n v="191047.56"/>
    <n v="-262410"/>
    <n v="120155.69811320755"/>
    <n v="53"/>
    <n v="6630662.0395752341"/>
    <n v="2020"/>
    <x v="51"/>
  </r>
  <r>
    <x v="66"/>
    <x v="66"/>
    <x v="2"/>
    <x v="1"/>
    <n v="4"/>
    <n v="1"/>
    <n v="78"/>
    <n v="201"/>
    <n v="2015"/>
    <n v="12207194"/>
    <x v="66"/>
    <x v="2"/>
    <x v="1"/>
    <s v="Pag-IBIG Loan"/>
    <n v="303"/>
    <n v="328936.11"/>
    <n v="-1242657"/>
    <n v="54549.935323383084"/>
    <n v="201"/>
    <n v="12207194.101797104"/>
    <n v="2021"/>
    <x v="19"/>
  </r>
  <r>
    <x v="67"/>
    <x v="67"/>
    <x v="1"/>
    <x v="1"/>
    <n v="4"/>
    <n v="1"/>
    <n v="93"/>
    <n v="100"/>
    <n v="2011"/>
    <n v="2247902"/>
    <x v="67"/>
    <x v="7"/>
    <x v="1"/>
    <s v="Bank Loan"/>
    <n v="123"/>
    <n v="130713.26999999999"/>
    <n v="2109207"/>
    <n v="43571.09"/>
    <n v="100"/>
    <n v="2247901.0616997536"/>
    <n v="2025"/>
    <x v="7"/>
  </r>
  <r>
    <x v="68"/>
    <x v="68"/>
    <x v="0"/>
    <x v="3"/>
    <n v="4"/>
    <n v="4"/>
    <n v="53"/>
    <n v="130"/>
    <n v="2021"/>
    <n v="11577108"/>
    <x v="68"/>
    <x v="7"/>
    <x v="1"/>
    <s v="Installment"/>
    <n v="301"/>
    <n v="193305"/>
    <n v="-5133608"/>
    <n v="49565.384615384617"/>
    <n v="130"/>
    <n v="11577108.443427496"/>
    <n v="2026"/>
    <x v="52"/>
  </r>
  <r>
    <x v="69"/>
    <x v="69"/>
    <x v="0"/>
    <x v="1"/>
    <n v="1"/>
    <n v="2"/>
    <n v="152"/>
    <n v="108"/>
    <n v="2012"/>
    <n v="10221809"/>
    <x v="69"/>
    <x v="6"/>
    <x v="1"/>
    <s v="Bank Loan"/>
    <n v="176"/>
    <n v="329731.46999999997"/>
    <n v="769240"/>
    <n v="101768.97222222222"/>
    <n v="108"/>
    <n v="10221808.924745219"/>
    <n v="2021"/>
    <x v="53"/>
  </r>
  <r>
    <x v="70"/>
    <x v="70"/>
    <x v="0"/>
    <x v="3"/>
    <n v="4"/>
    <n v="2"/>
    <n v="63"/>
    <n v="73"/>
    <n v="2015"/>
    <n v="3346180"/>
    <x v="70"/>
    <x v="8"/>
    <x v="0"/>
    <s v="Cash"/>
    <n v="128"/>
    <n v="328164.59999999998"/>
    <n v="7592640"/>
    <n v="149846.84931506848"/>
    <n v="73"/>
    <n v="3346177.7309529074"/>
    <n v="2021"/>
    <x v="54"/>
  </r>
  <r>
    <x v="71"/>
    <x v="71"/>
    <x v="1"/>
    <x v="3"/>
    <n v="1"/>
    <n v="2"/>
    <n v="175"/>
    <n v="216"/>
    <n v="2023"/>
    <n v="5225624"/>
    <x v="71"/>
    <x v="6"/>
    <x v="0"/>
    <s v="Pag-IBIG Loan"/>
    <n v="351"/>
    <n v="149287.74"/>
    <n v="-249366"/>
    <n v="23038.231481481482"/>
    <n v="216"/>
    <n v="5225624.0477198511"/>
    <n v="2022"/>
    <x v="55"/>
  </r>
  <r>
    <x v="72"/>
    <x v="72"/>
    <x v="0"/>
    <x v="3"/>
    <n v="3"/>
    <n v="2"/>
    <n v="116"/>
    <n v="194"/>
    <n v="2019"/>
    <n v="2340165"/>
    <x v="72"/>
    <x v="2"/>
    <x v="1"/>
    <s v="Pag-IBIG Loan"/>
    <n v="198"/>
    <n v="233380.35"/>
    <n v="5439180"/>
    <n v="40099.716494845357"/>
    <n v="194"/>
    <n v="2340162.6757279937"/>
    <n v="2019"/>
    <x v="45"/>
  </r>
  <r>
    <x v="73"/>
    <x v="73"/>
    <x v="1"/>
    <x v="0"/>
    <n v="1"/>
    <n v="4"/>
    <n v="114"/>
    <n v="96"/>
    <n v="2023"/>
    <n v="12325178"/>
    <x v="73"/>
    <x v="6"/>
    <x v="1"/>
    <s v="Installment"/>
    <n v="374"/>
    <n v="240437.19"/>
    <n v="-4310605"/>
    <n v="83485.135416666672"/>
    <n v="96"/>
    <n v="12325178.349739777"/>
    <n v="2018"/>
    <x v="56"/>
  </r>
  <r>
    <x v="74"/>
    <x v="74"/>
    <x v="3"/>
    <x v="3"/>
    <n v="2"/>
    <n v="4"/>
    <n v="115"/>
    <n v="229"/>
    <n v="2019"/>
    <n v="7217469"/>
    <x v="74"/>
    <x v="5"/>
    <x v="0"/>
    <s v="Installment"/>
    <n v="283"/>
    <n v="266441.33999999997"/>
    <n v="1663909"/>
    <n v="77229.373913043484"/>
    <n v="115"/>
    <n v="7217468.7694608737"/>
    <n v="2024"/>
    <x v="41"/>
  </r>
  <r>
    <x v="75"/>
    <x v="75"/>
    <x v="0"/>
    <x v="1"/>
    <n v="1"/>
    <n v="3"/>
    <n v="183"/>
    <n v="61"/>
    <n v="2018"/>
    <n v="6685298"/>
    <x v="75"/>
    <x v="2"/>
    <x v="1"/>
    <s v="Cash"/>
    <n v="297"/>
    <n v="385782.54"/>
    <n v="6174120"/>
    <n v="210810.13114754099"/>
    <n v="61"/>
    <n v="6685297.0764630092"/>
    <n v="2018"/>
    <x v="43"/>
  </r>
  <r>
    <x v="76"/>
    <x v="76"/>
    <x v="3"/>
    <x v="3"/>
    <n v="3"/>
    <n v="4"/>
    <n v="99"/>
    <n v="233"/>
    <n v="2015"/>
    <n v="4007557"/>
    <x v="76"/>
    <x v="8"/>
    <x v="2"/>
    <s v="Bank Loan"/>
    <n v="200"/>
    <n v="275718.87"/>
    <n v="5183072"/>
    <n v="92834.636363636368"/>
    <n v="99"/>
    <n v="4007555.7066754135"/>
    <n v="2019"/>
    <x v="57"/>
  </r>
  <r>
    <x v="77"/>
    <x v="77"/>
    <x v="0"/>
    <x v="0"/>
    <n v="2"/>
    <n v="4"/>
    <n v="127"/>
    <n v="194"/>
    <n v="2013"/>
    <n v="8040559"/>
    <x v="77"/>
    <x v="0"/>
    <x v="0"/>
    <s v="Bank Loan"/>
    <n v="237"/>
    <n v="383815.17"/>
    <n v="4753280"/>
    <n v="65947.623711340202"/>
    <n v="194"/>
    <n v="8040558.4088371219"/>
    <n v="2024"/>
    <x v="41"/>
  </r>
  <r>
    <x v="78"/>
    <x v="78"/>
    <x v="2"/>
    <x v="3"/>
    <n v="2"/>
    <n v="1"/>
    <n v="147"/>
    <n v="52"/>
    <n v="2016"/>
    <n v="11785280"/>
    <x v="78"/>
    <x v="4"/>
    <x v="2"/>
    <s v="Installment"/>
    <n v="200"/>
    <n v="131421.69"/>
    <n v="-7404557"/>
    <n v="84244.673076923078"/>
    <n v="52"/>
    <n v="11785280.628288593"/>
    <n v="2025"/>
    <x v="58"/>
  </r>
  <r>
    <x v="79"/>
    <x v="79"/>
    <x v="1"/>
    <x v="2"/>
    <n v="3"/>
    <n v="4"/>
    <n v="93"/>
    <n v="79"/>
    <n v="2022"/>
    <n v="6778106"/>
    <x v="79"/>
    <x v="0"/>
    <x v="0"/>
    <s v="Installment"/>
    <n v="355"/>
    <n v="59052.45"/>
    <n v="-4809691"/>
    <n v="24916.645569620254"/>
    <n v="79"/>
    <n v="6778106.7095921785"/>
    <n v="2021"/>
    <x v="19"/>
  </r>
  <r>
    <x v="80"/>
    <x v="80"/>
    <x v="3"/>
    <x v="0"/>
    <n v="2"/>
    <n v="1"/>
    <n v="155"/>
    <n v="61"/>
    <n v="2012"/>
    <n v="6564202"/>
    <x v="80"/>
    <x v="2"/>
    <x v="2"/>
    <s v="Cash"/>
    <n v="171"/>
    <n v="161907.87"/>
    <n v="-1167273"/>
    <n v="34818.896774193548"/>
    <n v="155"/>
    <n v="6564202.1778240521"/>
    <n v="2023"/>
    <x v="2"/>
  </r>
  <r>
    <x v="81"/>
    <x v="81"/>
    <x v="1"/>
    <x v="3"/>
    <n v="4"/>
    <n v="4"/>
    <n v="61"/>
    <n v="124"/>
    <n v="2015"/>
    <n v="2956188"/>
    <x v="81"/>
    <x v="0"/>
    <x v="1"/>
    <s v="Pag-IBIG Loan"/>
    <n v="121"/>
    <n v="49155.63"/>
    <n v="-1317667"/>
    <n v="13213.879032258064"/>
    <n v="124"/>
    <n v="2956188.4457318005"/>
    <n v="2022"/>
    <x v="13"/>
  </r>
  <r>
    <x v="82"/>
    <x v="82"/>
    <x v="0"/>
    <x v="3"/>
    <n v="3"/>
    <n v="1"/>
    <n v="118"/>
    <n v="159"/>
    <n v="2019"/>
    <n v="8650851"/>
    <x v="82"/>
    <x v="5"/>
    <x v="2"/>
    <s v="Installment"/>
    <n v="111"/>
    <n v="309000.65999999997"/>
    <n v="1649171"/>
    <n v="64780.012578616355"/>
    <n v="159"/>
    <n v="8650850.8093631491"/>
    <n v="2021"/>
    <x v="54"/>
  </r>
  <r>
    <x v="83"/>
    <x v="83"/>
    <x v="3"/>
    <x v="3"/>
    <n v="1"/>
    <n v="3"/>
    <n v="83"/>
    <n v="70"/>
    <n v="2016"/>
    <n v="5932084"/>
    <x v="83"/>
    <x v="2"/>
    <x v="0"/>
    <s v="Installment"/>
    <n v="340"/>
    <n v="313400.25"/>
    <n v="4514591"/>
    <n v="125863.55421686747"/>
    <n v="83"/>
    <n v="5932083.2389536295"/>
    <n v="2019"/>
    <x v="59"/>
  </r>
  <r>
    <x v="84"/>
    <x v="84"/>
    <x v="3"/>
    <x v="3"/>
    <n v="1"/>
    <n v="3"/>
    <n v="122"/>
    <n v="126"/>
    <n v="2011"/>
    <n v="6220033"/>
    <x v="84"/>
    <x v="7"/>
    <x v="2"/>
    <s v="Installment"/>
    <n v="319"/>
    <n v="151413.69"/>
    <n v="-1172910"/>
    <n v="41369.860655737706"/>
    <n v="122"/>
    <n v="6220033.1885697395"/>
    <n v="2020"/>
    <x v="60"/>
  </r>
  <r>
    <x v="85"/>
    <x v="85"/>
    <x v="3"/>
    <x v="3"/>
    <n v="4"/>
    <n v="4"/>
    <n v="98"/>
    <n v="151"/>
    <n v="2014"/>
    <n v="3170470"/>
    <x v="85"/>
    <x v="0"/>
    <x v="0"/>
    <s v="Installment"/>
    <n v="311"/>
    <n v="141533.1"/>
    <n v="1547300"/>
    <n v="48140.510204081635"/>
    <n v="98"/>
    <n v="3170469.511965103"/>
    <n v="2022"/>
    <x v="46"/>
  </r>
  <r>
    <x v="86"/>
    <x v="86"/>
    <x v="2"/>
    <x v="3"/>
    <n v="1"/>
    <n v="2"/>
    <n v="109"/>
    <n v="198"/>
    <n v="2013"/>
    <n v="2040531"/>
    <x v="86"/>
    <x v="8"/>
    <x v="0"/>
    <s v="Installment"/>
    <n v="364"/>
    <n v="260045.91"/>
    <n v="6627666"/>
    <n v="43778.772727272728"/>
    <n v="198"/>
    <n v="2040527.7519895555"/>
    <n v="2020"/>
    <x v="61"/>
  </r>
  <r>
    <x v="87"/>
    <x v="87"/>
    <x v="0"/>
    <x v="1"/>
    <n v="4"/>
    <n v="1"/>
    <n v="84"/>
    <n v="69"/>
    <n v="2017"/>
    <n v="11181339"/>
    <x v="87"/>
    <x v="1"/>
    <x v="1"/>
    <s v="Cash"/>
    <n v="202"/>
    <n v="111604.86"/>
    <n v="-7461177"/>
    <n v="53915.391304347824"/>
    <n v="69"/>
    <n v="11181339.667288328"/>
    <n v="2018"/>
    <x v="16"/>
  </r>
  <r>
    <x v="88"/>
    <x v="88"/>
    <x v="1"/>
    <x v="2"/>
    <n v="1"/>
    <n v="1"/>
    <n v="157"/>
    <n v="143"/>
    <n v="2015"/>
    <n v="6552427"/>
    <x v="88"/>
    <x v="0"/>
    <x v="1"/>
    <s v="Pag-IBIG Loan"/>
    <n v="394"/>
    <n v="129357.81"/>
    <n v="-2240500"/>
    <n v="30153.335664335664"/>
    <n v="143"/>
    <n v="6552427.3419343699"/>
    <n v="2018"/>
    <x v="62"/>
  </r>
  <r>
    <x v="89"/>
    <x v="89"/>
    <x v="3"/>
    <x v="2"/>
    <n v="4"/>
    <n v="4"/>
    <n v="102"/>
    <n v="62"/>
    <n v="2018"/>
    <n v="11641650"/>
    <x v="89"/>
    <x v="7"/>
    <x v="1"/>
    <s v="Cash"/>
    <n v="379"/>
    <n v="355140.12"/>
    <n v="196354"/>
    <n v="116058.86274509804"/>
    <n v="102"/>
    <n v="11641649.983133491"/>
    <n v="2023"/>
    <x v="0"/>
  </r>
  <r>
    <x v="90"/>
    <x v="90"/>
    <x v="2"/>
    <x v="2"/>
    <n v="3"/>
    <n v="1"/>
    <n v="157"/>
    <n v="188"/>
    <n v="2022"/>
    <n v="14688821"/>
    <x v="90"/>
    <x v="5"/>
    <x v="1"/>
    <s v="Installment"/>
    <n v="380"/>
    <n v="296069.90999999997"/>
    <n v="-4819824"/>
    <n v="52494.664893617024"/>
    <n v="188"/>
    <n v="14688821.328128718"/>
    <n v="2020"/>
    <x v="63"/>
  </r>
  <r>
    <x v="91"/>
    <x v="91"/>
    <x v="1"/>
    <x v="2"/>
    <n v="1"/>
    <n v="3"/>
    <n v="121"/>
    <n v="171"/>
    <n v="2012"/>
    <n v="9433396"/>
    <x v="91"/>
    <x v="6"/>
    <x v="0"/>
    <s v="Cash"/>
    <n v="363"/>
    <n v="207403.16999999998"/>
    <n v="-2519957"/>
    <n v="40429.46783625731"/>
    <n v="171"/>
    <n v="9433396.2671314757"/>
    <n v="2025"/>
    <x v="39"/>
  </r>
  <r>
    <x v="92"/>
    <x v="92"/>
    <x v="0"/>
    <x v="2"/>
    <n v="1"/>
    <n v="2"/>
    <n v="45"/>
    <n v="211"/>
    <n v="2016"/>
    <n v="9777613"/>
    <x v="92"/>
    <x v="6"/>
    <x v="0"/>
    <s v="Installment"/>
    <n v="334"/>
    <n v="345654.83999999997"/>
    <n v="1744215"/>
    <n v="54605.81990521327"/>
    <n v="211"/>
    <n v="9777612.821611369"/>
    <n v="2023"/>
    <x v="64"/>
  </r>
  <r>
    <x v="93"/>
    <x v="93"/>
    <x v="3"/>
    <x v="3"/>
    <n v="2"/>
    <n v="4"/>
    <n v="113"/>
    <n v="133"/>
    <n v="2022"/>
    <n v="7880924"/>
    <x v="93"/>
    <x v="8"/>
    <x v="1"/>
    <s v="Cash"/>
    <n v="392"/>
    <n v="235634.63999999998"/>
    <n v="-26436"/>
    <n v="69508.743362831854"/>
    <n v="113"/>
    <n v="7880924.0033544293"/>
    <n v="2025"/>
    <x v="44"/>
  </r>
  <r>
    <x v="94"/>
    <x v="94"/>
    <x v="1"/>
    <x v="3"/>
    <n v="4"/>
    <n v="4"/>
    <n v="122"/>
    <n v="103"/>
    <n v="2022"/>
    <n v="7255437"/>
    <x v="94"/>
    <x v="7"/>
    <x v="2"/>
    <s v="Bank Loan"/>
    <n v="322"/>
    <n v="60628.89"/>
    <n v="-5234474"/>
    <n v="19621"/>
    <n v="103"/>
    <n v="7255437.7214553719"/>
    <n v="2023"/>
    <x v="2"/>
  </r>
  <r>
    <x v="95"/>
    <x v="95"/>
    <x v="2"/>
    <x v="1"/>
    <n v="3"/>
    <n v="1"/>
    <n v="154"/>
    <n v="91"/>
    <n v="2016"/>
    <n v="5147462"/>
    <x v="95"/>
    <x v="5"/>
    <x v="1"/>
    <s v="Cash"/>
    <n v="279"/>
    <n v="84078.27"/>
    <n v="-2344853"/>
    <n v="30797.9010989011"/>
    <n v="91"/>
    <n v="5147462.4555357574"/>
    <n v="2025"/>
    <x v="44"/>
  </r>
  <r>
    <x v="96"/>
    <x v="96"/>
    <x v="2"/>
    <x v="0"/>
    <n v="1"/>
    <n v="2"/>
    <n v="140"/>
    <n v="241"/>
    <n v="2016"/>
    <n v="2408895"/>
    <x v="96"/>
    <x v="2"/>
    <x v="3"/>
    <s v="Pag-IBIG Loan"/>
    <n v="329"/>
    <n v="178775.78999999998"/>
    <n v="3550298"/>
    <n v="24726.941908713692"/>
    <n v="241"/>
    <n v="2408893.5261715432"/>
    <n v="2025"/>
    <x v="65"/>
  </r>
  <r>
    <x v="97"/>
    <x v="97"/>
    <x v="3"/>
    <x v="1"/>
    <n v="3"/>
    <n v="3"/>
    <n v="84"/>
    <n v="87"/>
    <n v="2017"/>
    <n v="8826449"/>
    <x v="97"/>
    <x v="4"/>
    <x v="2"/>
    <s v="Installment"/>
    <n v="279"/>
    <n v="182304.78"/>
    <n v="-2749623"/>
    <n v="72343.166666666672"/>
    <n v="84"/>
    <n v="8826449.3115208615"/>
    <n v="2023"/>
    <x v="66"/>
  </r>
  <r>
    <x v="98"/>
    <x v="98"/>
    <x v="0"/>
    <x v="0"/>
    <n v="2"/>
    <n v="3"/>
    <n v="200"/>
    <n v="101"/>
    <n v="2018"/>
    <n v="9658271"/>
    <x v="98"/>
    <x v="0"/>
    <x v="2"/>
    <s v="Installment"/>
    <n v="179"/>
    <n v="260694.15"/>
    <n v="-968466"/>
    <n v="86037.67326732674"/>
    <n v="101"/>
    <n v="9658271.1002732273"/>
    <n v="2022"/>
    <x v="20"/>
  </r>
  <r>
    <x v="99"/>
    <x v="99"/>
    <x v="1"/>
    <x v="3"/>
    <n v="4"/>
    <n v="4"/>
    <n v="47"/>
    <n v="63"/>
    <n v="2019"/>
    <n v="9526929"/>
    <x v="99"/>
    <x v="2"/>
    <x v="1"/>
    <s v="Cash"/>
    <n v="280"/>
    <n v="62536.11"/>
    <n v="-7442392"/>
    <n v="33087.888888888891"/>
    <n v="63"/>
    <n v="9526929.7811952829"/>
    <n v="2022"/>
    <x v="20"/>
  </r>
  <r>
    <x v="100"/>
    <x v="100"/>
    <x v="1"/>
    <x v="2"/>
    <n v="2"/>
    <n v="2"/>
    <n v="155"/>
    <n v="165"/>
    <n v="2021"/>
    <n v="3731302"/>
    <x v="100"/>
    <x v="0"/>
    <x v="2"/>
    <s v="Installment"/>
    <n v="263"/>
    <n v="141887.54999999999"/>
    <n v="998283"/>
    <n v="28664.151515151516"/>
    <n v="165"/>
    <n v="3731301.7324571959"/>
    <n v="2018"/>
    <x v="67"/>
  </r>
  <r>
    <x v="101"/>
    <x v="101"/>
    <x v="1"/>
    <x v="0"/>
    <n v="4"/>
    <n v="1"/>
    <n v="57"/>
    <n v="147"/>
    <n v="2013"/>
    <n v="8995053"/>
    <x v="101"/>
    <x v="4"/>
    <x v="1"/>
    <s v="Cash"/>
    <n v="318"/>
    <n v="105582.65999999999"/>
    <n v="-5475631"/>
    <n v="23941.646258503402"/>
    <n v="147"/>
    <n v="8995053.608738048"/>
    <n v="2023"/>
    <x v="68"/>
  </r>
  <r>
    <x v="102"/>
    <x v="102"/>
    <x v="3"/>
    <x v="2"/>
    <n v="2"/>
    <n v="2"/>
    <n v="83"/>
    <n v="106"/>
    <n v="2016"/>
    <n v="11615708"/>
    <x v="102"/>
    <x v="5"/>
    <x v="2"/>
    <s v="Bank Loan"/>
    <n v="141"/>
    <n v="182744.00999999998"/>
    <n v="-5524241"/>
    <n v="73391.168674698798"/>
    <n v="83"/>
    <n v="11615708.475583667"/>
    <n v="2022"/>
    <x v="5"/>
  </r>
  <r>
    <x v="103"/>
    <x v="103"/>
    <x v="2"/>
    <x v="3"/>
    <n v="3"/>
    <n v="3"/>
    <n v="178"/>
    <n v="197"/>
    <n v="2011"/>
    <n v="5351466"/>
    <x v="103"/>
    <x v="1"/>
    <x v="2"/>
    <s v="Pag-IBIG Loan"/>
    <n v="233"/>
    <n v="253664.55"/>
    <n v="3104019"/>
    <n v="42921.243654822334"/>
    <n v="197"/>
    <n v="5351465.4199684719"/>
    <n v="2021"/>
    <x v="69"/>
  </r>
  <r>
    <x v="104"/>
    <x v="104"/>
    <x v="1"/>
    <x v="0"/>
    <n v="3"/>
    <n v="1"/>
    <n v="93"/>
    <n v="215"/>
    <n v="2015"/>
    <n v="10801671"/>
    <x v="104"/>
    <x v="2"/>
    <x v="0"/>
    <s v="Installment"/>
    <n v="318"/>
    <n v="201473.72999999998"/>
    <n v="-4085880"/>
    <n v="31236.237209302326"/>
    <n v="215"/>
    <n v="10801671.378263697"/>
    <n v="2023"/>
    <x v="66"/>
  </r>
  <r>
    <x v="105"/>
    <x v="105"/>
    <x v="3"/>
    <x v="2"/>
    <n v="1"/>
    <n v="3"/>
    <n v="107"/>
    <n v="181"/>
    <n v="2022"/>
    <n v="5124735"/>
    <x v="105"/>
    <x v="1"/>
    <x v="1"/>
    <s v="Bank Loan"/>
    <n v="152"/>
    <n v="259517.88"/>
    <n v="3525861"/>
    <n v="80846.691588785048"/>
    <n v="107"/>
    <n v="5124734.3119915472"/>
    <n v="2019"/>
    <x v="21"/>
  </r>
  <r>
    <x v="106"/>
    <x v="106"/>
    <x v="3"/>
    <x v="2"/>
    <n v="1"/>
    <n v="4"/>
    <n v="177"/>
    <n v="160"/>
    <n v="2013"/>
    <n v="10218750"/>
    <x v="106"/>
    <x v="3"/>
    <x v="0"/>
    <s v="Installment"/>
    <n v="144"/>
    <n v="360652.95"/>
    <n v="1803015"/>
    <n v="67919.576271186437"/>
    <n v="177"/>
    <n v="10218749.823558165"/>
    <n v="2022"/>
    <x v="5"/>
  </r>
  <r>
    <x v="107"/>
    <x v="107"/>
    <x v="0"/>
    <x v="1"/>
    <n v="1"/>
    <n v="4"/>
    <n v="185"/>
    <n v="54"/>
    <n v="2010"/>
    <n v="10724079"/>
    <x v="107"/>
    <x v="6"/>
    <x v="2"/>
    <s v="Bank Loan"/>
    <n v="143"/>
    <n v="157629.03"/>
    <n v="-5469778"/>
    <n v="97301.870370370365"/>
    <n v="54"/>
    <n v="10724079.510046411"/>
    <n v="2025"/>
    <x v="24"/>
  </r>
  <r>
    <x v="108"/>
    <x v="108"/>
    <x v="1"/>
    <x v="3"/>
    <n v="2"/>
    <n v="2"/>
    <n v="199"/>
    <n v="51"/>
    <n v="2022"/>
    <n v="2332753"/>
    <x v="108"/>
    <x v="4"/>
    <x v="1"/>
    <s v="Bank Loan"/>
    <n v="271"/>
    <n v="202133.25"/>
    <n v="4405022"/>
    <n v="132113.23529411765"/>
    <n v="51"/>
    <n v="2332751.1116637723"/>
    <n v="2021"/>
    <x v="27"/>
  </r>
  <r>
    <x v="109"/>
    <x v="109"/>
    <x v="1"/>
    <x v="0"/>
    <n v="3"/>
    <n v="1"/>
    <n v="156"/>
    <n v="90"/>
    <n v="2023"/>
    <n v="8326070"/>
    <x v="109"/>
    <x v="5"/>
    <x v="1"/>
    <s v="Pag-IBIG Loan"/>
    <n v="310"/>
    <n v="370837.2"/>
    <n v="4035170"/>
    <n v="137347.11111111112"/>
    <n v="90"/>
    <n v="8326069.5153571852"/>
    <n v="2021"/>
    <x v="70"/>
  </r>
  <r>
    <x v="110"/>
    <x v="110"/>
    <x v="1"/>
    <x v="1"/>
    <n v="4"/>
    <n v="4"/>
    <n v="86"/>
    <n v="166"/>
    <n v="2012"/>
    <n v="2044198"/>
    <x v="110"/>
    <x v="6"/>
    <x v="0"/>
    <s v="Cash"/>
    <n v="359"/>
    <n v="293671.67999999999"/>
    <n v="7744858"/>
    <n v="58970.216867469877"/>
    <n v="166"/>
    <n v="2044194.2112975358"/>
    <n v="2023"/>
    <x v="64"/>
  </r>
  <r>
    <x v="111"/>
    <x v="111"/>
    <x v="0"/>
    <x v="0"/>
    <n v="4"/>
    <n v="4"/>
    <n v="148"/>
    <n v="237"/>
    <n v="2016"/>
    <n v="12792103"/>
    <x v="111"/>
    <x v="7"/>
    <x v="2"/>
    <s v="Bank Loan"/>
    <n v="384"/>
    <n v="229845.9"/>
    <n v="-5130573"/>
    <n v="32327.130801687763"/>
    <n v="237"/>
    <n v="12792103.40107346"/>
    <n v="2021"/>
    <x v="29"/>
  </r>
  <r>
    <x v="112"/>
    <x v="112"/>
    <x v="2"/>
    <x v="0"/>
    <n v="3"/>
    <n v="3"/>
    <n v="122"/>
    <n v="68"/>
    <n v="2012"/>
    <n v="6347877"/>
    <x v="112"/>
    <x v="6"/>
    <x v="2"/>
    <s v="Installment"/>
    <n v="163"/>
    <n v="170364.44999999998"/>
    <n v="-669062"/>
    <n v="83511.98529411765"/>
    <n v="68"/>
    <n v="6347877.1053993329"/>
    <n v="2019"/>
    <x v="26"/>
  </r>
  <r>
    <x v="113"/>
    <x v="113"/>
    <x v="2"/>
    <x v="0"/>
    <n v="3"/>
    <n v="2"/>
    <n v="153"/>
    <n v="54"/>
    <n v="2023"/>
    <n v="10938852"/>
    <x v="113"/>
    <x v="5"/>
    <x v="3"/>
    <s v="Pag-IBIG Loan"/>
    <n v="189"/>
    <n v="205327.16999999998"/>
    <n v="-4094613"/>
    <n v="126745.16666666667"/>
    <n v="54"/>
    <n v="10938852.374318346"/>
    <n v="2019"/>
    <x v="71"/>
  </r>
  <r>
    <x v="114"/>
    <x v="114"/>
    <x v="2"/>
    <x v="0"/>
    <n v="3"/>
    <n v="3"/>
    <n v="132"/>
    <n v="189"/>
    <n v="2015"/>
    <n v="5308918"/>
    <x v="114"/>
    <x v="8"/>
    <x v="0"/>
    <s v="Pag-IBIG Loan"/>
    <n v="377"/>
    <n v="51112.14"/>
    <n v="-3605180"/>
    <n v="9014.4867724867727"/>
    <n v="189"/>
    <n v="5308918.6790799936"/>
    <n v="2025"/>
    <x v="28"/>
  </r>
  <r>
    <x v="115"/>
    <x v="115"/>
    <x v="2"/>
    <x v="1"/>
    <n v="1"/>
    <n v="2"/>
    <n v="74"/>
    <n v="248"/>
    <n v="2017"/>
    <n v="2001710"/>
    <x v="115"/>
    <x v="6"/>
    <x v="0"/>
    <s v="Installment"/>
    <n v="326"/>
    <n v="89289.599999999991"/>
    <n v="974610"/>
    <n v="12001.290322580646"/>
    <n v="248"/>
    <n v="2001709.5131112898"/>
    <n v="2021"/>
    <x v="53"/>
  </r>
  <r>
    <x v="116"/>
    <x v="116"/>
    <x v="0"/>
    <x v="0"/>
    <n v="3"/>
    <n v="3"/>
    <n v="129"/>
    <n v="113"/>
    <n v="2021"/>
    <n v="10221279"/>
    <x v="116"/>
    <x v="1"/>
    <x v="3"/>
    <s v="Pag-IBIG Loan"/>
    <n v="246"/>
    <n v="157940.19"/>
    <n v="-4956606"/>
    <n v="46590.026548672569"/>
    <n v="113"/>
    <n v="10221279.484930115"/>
    <n v="2020"/>
    <x v="72"/>
  </r>
  <r>
    <x v="117"/>
    <x v="117"/>
    <x v="2"/>
    <x v="3"/>
    <n v="1"/>
    <n v="1"/>
    <n v="121"/>
    <n v="74"/>
    <n v="2017"/>
    <n v="12242731"/>
    <x v="117"/>
    <x v="1"/>
    <x v="1"/>
    <s v="Pag-IBIG Loan"/>
    <n v="166"/>
    <n v="337010.51999999996"/>
    <n v="-1009047"/>
    <n v="151806.54054054053"/>
    <n v="74"/>
    <n v="12242731.08242009"/>
    <n v="2024"/>
    <x v="73"/>
  </r>
  <r>
    <x v="118"/>
    <x v="118"/>
    <x v="3"/>
    <x v="1"/>
    <n v="3"/>
    <n v="3"/>
    <n v="163"/>
    <n v="195"/>
    <n v="2022"/>
    <n v="14457783"/>
    <x v="118"/>
    <x v="0"/>
    <x v="2"/>
    <s v="Bank Loan"/>
    <n v="227"/>
    <n v="134758.22999999998"/>
    <n v="-9965842"/>
    <n v="27557.920245398775"/>
    <n v="163"/>
    <n v="14457783.689306377"/>
    <n v="2019"/>
    <x v="59"/>
  </r>
  <r>
    <x v="119"/>
    <x v="119"/>
    <x v="0"/>
    <x v="2"/>
    <n v="3"/>
    <n v="2"/>
    <n v="127"/>
    <n v="59"/>
    <n v="2015"/>
    <n v="9832337"/>
    <x v="119"/>
    <x v="4"/>
    <x v="3"/>
    <s v="Installment"/>
    <n v="113"/>
    <n v="93209.849999999991"/>
    <n v="-6725342"/>
    <n v="52660.932203389828"/>
    <n v="59"/>
    <n v="9832337.6840023901"/>
    <n v="2018"/>
    <x v="74"/>
  </r>
  <r>
    <x v="120"/>
    <x v="98"/>
    <x v="1"/>
    <x v="1"/>
    <n v="3"/>
    <n v="3"/>
    <n v="65"/>
    <n v="228"/>
    <n v="2020"/>
    <n v="12851262"/>
    <x v="120"/>
    <x v="6"/>
    <x v="0"/>
    <s v="Bank Loan"/>
    <n v="286"/>
    <n v="268015.05"/>
    <n v="-3917427"/>
    <n v="39183.48684210526"/>
    <n v="228"/>
    <n v="12851262.304828195"/>
    <n v="2022"/>
    <x v="20"/>
  </r>
  <r>
    <x v="121"/>
    <x v="120"/>
    <x v="2"/>
    <x v="1"/>
    <n v="3"/>
    <n v="2"/>
    <n v="88"/>
    <n v="134"/>
    <n v="2018"/>
    <n v="13204031"/>
    <x v="121"/>
    <x v="7"/>
    <x v="0"/>
    <s v="Bank Loan"/>
    <n v="297"/>
    <n v="269801.33999999997"/>
    <n v="-4210653"/>
    <n v="67114.761194029852"/>
    <n v="134"/>
    <n v="13204031.318891481"/>
    <n v="2023"/>
    <x v="75"/>
  </r>
  <r>
    <x v="122"/>
    <x v="121"/>
    <x v="3"/>
    <x v="2"/>
    <n v="2"/>
    <n v="3"/>
    <n v="43"/>
    <n v="228"/>
    <n v="2017"/>
    <n v="2439921"/>
    <x v="122"/>
    <x v="1"/>
    <x v="2"/>
    <s v="Pag-IBIG Loan"/>
    <n v="144"/>
    <n v="181376.25"/>
    <n v="3605954"/>
    <n v="140601.7441860465"/>
    <n v="43"/>
    <n v="2439919.5221021501"/>
    <n v="2020"/>
    <x v="8"/>
  </r>
  <r>
    <x v="123"/>
    <x v="122"/>
    <x v="0"/>
    <x v="0"/>
    <n v="3"/>
    <n v="1"/>
    <n v="128"/>
    <n v="75"/>
    <n v="2018"/>
    <n v="6483962"/>
    <x v="123"/>
    <x v="2"/>
    <x v="2"/>
    <s v="Pag-IBIG Loan"/>
    <n v="241"/>
    <n v="138295.47"/>
    <n v="-1874113"/>
    <n v="61464.653333333335"/>
    <n v="75"/>
    <n v="6483962.2890382456"/>
    <n v="2020"/>
    <x v="8"/>
  </r>
  <r>
    <x v="124"/>
    <x v="123"/>
    <x v="2"/>
    <x v="1"/>
    <n v="3"/>
    <n v="1"/>
    <n v="112"/>
    <n v="232"/>
    <n v="2016"/>
    <n v="11193999"/>
    <x v="124"/>
    <x v="8"/>
    <x v="3"/>
    <s v="Pag-IBIG Loan"/>
    <n v="368"/>
    <n v="189051.81"/>
    <n v="-4892272"/>
    <n v="27162.616379310344"/>
    <n v="232"/>
    <n v="11193999.43704417"/>
    <n v="2024"/>
    <x v="76"/>
  </r>
  <r>
    <x v="125"/>
    <x v="124"/>
    <x v="1"/>
    <x v="3"/>
    <n v="2"/>
    <n v="2"/>
    <n v="121"/>
    <n v="108"/>
    <n v="2011"/>
    <n v="11346594"/>
    <x v="125"/>
    <x v="8"/>
    <x v="1"/>
    <s v="Pag-IBIG Loan"/>
    <n v="102"/>
    <n v="46575.15"/>
    <n v="-9794089"/>
    <n v="14375.046296296296"/>
    <n v="108"/>
    <n v="11346594.863174358"/>
    <n v="2021"/>
    <x v="9"/>
  </r>
  <r>
    <x v="126"/>
    <x v="125"/>
    <x v="2"/>
    <x v="3"/>
    <n v="4"/>
    <n v="4"/>
    <n v="196"/>
    <n v="241"/>
    <n v="2015"/>
    <n v="2696480"/>
    <x v="126"/>
    <x v="2"/>
    <x v="0"/>
    <s v="Pag-IBIG Loan"/>
    <n v="252"/>
    <n v="294346.52999999997"/>
    <n v="7115071"/>
    <n v="40711.82987551867"/>
    <n v="241"/>
    <n v="2696477.3613484986"/>
    <n v="2024"/>
    <x v="76"/>
  </r>
  <r>
    <x v="127"/>
    <x v="126"/>
    <x v="0"/>
    <x v="0"/>
    <n v="3"/>
    <n v="1"/>
    <n v="177"/>
    <n v="70"/>
    <n v="2017"/>
    <n v="5448462"/>
    <x v="127"/>
    <x v="5"/>
    <x v="2"/>
    <s v="Installment"/>
    <n v="364"/>
    <n v="161452.16999999998"/>
    <n v="-66723"/>
    <n v="76881.985714285707"/>
    <n v="70"/>
    <n v="5448462.0122462083"/>
    <n v="2018"/>
    <x v="43"/>
  </r>
  <r>
    <x v="128"/>
    <x v="127"/>
    <x v="0"/>
    <x v="1"/>
    <n v="4"/>
    <n v="3"/>
    <n v="63"/>
    <n v="222"/>
    <n v="2023"/>
    <n v="6053538"/>
    <x v="128"/>
    <x v="2"/>
    <x v="1"/>
    <s v="Installment"/>
    <n v="366"/>
    <n v="240722.81999999998"/>
    <n v="1970556"/>
    <n v="36144.567567567567"/>
    <n v="222"/>
    <n v="6053537.6744786268"/>
    <n v="2021"/>
    <x v="27"/>
  </r>
  <r>
    <x v="129"/>
    <x v="128"/>
    <x v="0"/>
    <x v="2"/>
    <n v="1"/>
    <n v="2"/>
    <n v="130"/>
    <n v="176"/>
    <n v="2021"/>
    <n v="14699803"/>
    <x v="129"/>
    <x v="0"/>
    <x v="3"/>
    <s v="Cash"/>
    <n v="379"/>
    <n v="356108.1"/>
    <n v="-2829533"/>
    <n v="67444.715909090912"/>
    <n v="176"/>
    <n v="14699803.192487817"/>
    <n v="2021"/>
    <x v="27"/>
  </r>
  <r>
    <x v="130"/>
    <x v="129"/>
    <x v="2"/>
    <x v="2"/>
    <n v="2"/>
    <n v="4"/>
    <n v="63"/>
    <n v="127"/>
    <n v="2020"/>
    <n v="10620895"/>
    <x v="130"/>
    <x v="2"/>
    <x v="2"/>
    <s v="Pag-IBIG Loan"/>
    <n v="233"/>
    <n v="316125.26999999996"/>
    <n v="-83386"/>
    <n v="82972.511811023622"/>
    <n v="127"/>
    <n v="10620895.007851128"/>
    <n v="2024"/>
    <x v="77"/>
  </r>
  <r>
    <x v="131"/>
    <x v="130"/>
    <x v="1"/>
    <x v="2"/>
    <n v="3"/>
    <n v="2"/>
    <n v="46"/>
    <n v="120"/>
    <n v="2010"/>
    <n v="2060062"/>
    <x v="131"/>
    <x v="7"/>
    <x v="0"/>
    <s v="Cash"/>
    <n v="372"/>
    <n v="168852.44999999998"/>
    <n v="3568353"/>
    <n v="46903.458333333336"/>
    <n v="120"/>
    <n v="2060060.2678419387"/>
    <n v="2020"/>
    <x v="51"/>
  </r>
  <r>
    <x v="132"/>
    <x v="131"/>
    <x v="1"/>
    <x v="1"/>
    <n v="2"/>
    <n v="1"/>
    <n v="149"/>
    <n v="145"/>
    <n v="2017"/>
    <n v="9645376"/>
    <x v="132"/>
    <x v="6"/>
    <x v="3"/>
    <s v="Cash"/>
    <n v="349"/>
    <n v="203513.28"/>
    <n v="-2861600"/>
    <n v="46784.662068965517"/>
    <n v="145"/>
    <n v="9645376.2966810204"/>
    <n v="2024"/>
    <x v="76"/>
  </r>
  <r>
    <x v="133"/>
    <x v="132"/>
    <x v="3"/>
    <x v="1"/>
    <n v="1"/>
    <n v="1"/>
    <n v="131"/>
    <n v="205"/>
    <n v="2021"/>
    <n v="8028142"/>
    <x v="133"/>
    <x v="4"/>
    <x v="0"/>
    <s v="Cash"/>
    <n v="378"/>
    <n v="62047.29"/>
    <n v="-5959899"/>
    <n v="15788.114503816794"/>
    <n v="131"/>
    <n v="8028142.7423758823"/>
    <n v="2018"/>
    <x v="33"/>
  </r>
  <r>
    <x v="134"/>
    <x v="133"/>
    <x v="0"/>
    <x v="0"/>
    <n v="2"/>
    <n v="2"/>
    <n v="92"/>
    <n v="238"/>
    <n v="2021"/>
    <n v="3002461"/>
    <x v="134"/>
    <x v="5"/>
    <x v="1"/>
    <s v="Pag-IBIG Loan"/>
    <n v="216"/>
    <n v="230115.84"/>
    <n v="4668067"/>
    <n v="32229.10924369748"/>
    <n v="238"/>
    <n v="3002459.4452530774"/>
    <n v="2021"/>
    <x v="9"/>
  </r>
  <r>
    <x v="135"/>
    <x v="134"/>
    <x v="1"/>
    <x v="3"/>
    <n v="1"/>
    <n v="2"/>
    <n v="99"/>
    <n v="151"/>
    <n v="2020"/>
    <n v="6803449"/>
    <x v="135"/>
    <x v="1"/>
    <x v="0"/>
    <s v="Pag-IBIG Loan"/>
    <n v="345"/>
    <n v="296400.93"/>
    <n v="3076582"/>
    <n v="65430.668874172188"/>
    <n v="151"/>
    <n v="6803448.5477908337"/>
    <n v="2019"/>
    <x v="78"/>
  </r>
  <r>
    <x v="136"/>
    <x v="135"/>
    <x v="0"/>
    <x v="2"/>
    <n v="4"/>
    <n v="3"/>
    <n v="91"/>
    <n v="64"/>
    <n v="2023"/>
    <n v="6119249"/>
    <x v="136"/>
    <x v="2"/>
    <x v="3"/>
    <s v="Pag-IBIG Loan"/>
    <n v="396"/>
    <n v="268364.73"/>
    <n v="2826242"/>
    <n v="139773.296875"/>
    <n v="64"/>
    <n v="6119248.538139076"/>
    <n v="2022"/>
    <x v="79"/>
  </r>
  <r>
    <x v="137"/>
    <x v="136"/>
    <x v="0"/>
    <x v="1"/>
    <n v="4"/>
    <n v="1"/>
    <n v="53"/>
    <n v="60"/>
    <n v="2014"/>
    <n v="7293060"/>
    <x v="137"/>
    <x v="2"/>
    <x v="1"/>
    <s v="Bank Loan"/>
    <n v="108"/>
    <n v="60650.43"/>
    <n v="-5271379"/>
    <n v="33694.683333333334"/>
    <n v="60"/>
    <n v="7293060.7227938613"/>
    <n v="2024"/>
    <x v="4"/>
  </r>
  <r>
    <x v="138"/>
    <x v="137"/>
    <x v="0"/>
    <x v="2"/>
    <n v="2"/>
    <n v="3"/>
    <n v="74"/>
    <n v="173"/>
    <n v="2018"/>
    <n v="14900095"/>
    <x v="138"/>
    <x v="8"/>
    <x v="1"/>
    <s v="Bank Loan"/>
    <n v="227"/>
    <n v="207511.05"/>
    <n v="-7983060"/>
    <n v="39982.861271676302"/>
    <n v="173"/>
    <n v="14900095.535772422"/>
    <n v="2019"/>
    <x v="80"/>
  </r>
  <r>
    <x v="139"/>
    <x v="138"/>
    <x v="0"/>
    <x v="0"/>
    <n v="4"/>
    <n v="4"/>
    <n v="178"/>
    <n v="210"/>
    <n v="2013"/>
    <n v="4196516"/>
    <x v="139"/>
    <x v="8"/>
    <x v="1"/>
    <s v="Installment"/>
    <n v="360"/>
    <n v="262152.48"/>
    <n v="4541900"/>
    <n v="41611.504761904762"/>
    <n v="210"/>
    <n v="4196514.9176974427"/>
    <n v="2022"/>
    <x v="15"/>
  </r>
  <r>
    <x v="140"/>
    <x v="139"/>
    <x v="0"/>
    <x v="0"/>
    <n v="2"/>
    <n v="2"/>
    <n v="52"/>
    <n v="206"/>
    <n v="2021"/>
    <n v="8673540"/>
    <x v="140"/>
    <x v="8"/>
    <x v="0"/>
    <s v="Installment"/>
    <n v="123"/>
    <n v="182375.66999999998"/>
    <n v="-2594351"/>
    <n v="29510.626213592233"/>
    <n v="206"/>
    <n v="8673540.2991109751"/>
    <n v="2019"/>
    <x v="81"/>
  </r>
  <r>
    <x v="141"/>
    <x v="140"/>
    <x v="1"/>
    <x v="2"/>
    <n v="4"/>
    <n v="3"/>
    <n v="57"/>
    <n v="208"/>
    <n v="2021"/>
    <n v="3127239"/>
    <x v="141"/>
    <x v="4"/>
    <x v="0"/>
    <s v="Cash"/>
    <n v="299"/>
    <n v="239790.12"/>
    <n v="4865765"/>
    <n v="38427.903846153844"/>
    <n v="208"/>
    <n v="3127237.4440699928"/>
    <n v="2019"/>
    <x v="21"/>
  </r>
  <r>
    <x v="142"/>
    <x v="141"/>
    <x v="1"/>
    <x v="3"/>
    <n v="4"/>
    <n v="4"/>
    <n v="97"/>
    <n v="110"/>
    <n v="2018"/>
    <n v="6521266"/>
    <x v="142"/>
    <x v="6"/>
    <x v="1"/>
    <s v="Installment"/>
    <n v="394"/>
    <n v="350246.39999999997"/>
    <n v="5153614"/>
    <n v="106135.27272727272"/>
    <n v="110"/>
    <n v="6521265.2097218549"/>
    <n v="2022"/>
    <x v="5"/>
  </r>
  <r>
    <x v="143"/>
    <x v="142"/>
    <x v="3"/>
    <x v="1"/>
    <n v="4"/>
    <n v="2"/>
    <n v="180"/>
    <n v="249"/>
    <n v="2022"/>
    <n v="12786141"/>
    <x v="143"/>
    <x v="4"/>
    <x v="1"/>
    <s v="Cash"/>
    <n v="361"/>
    <n v="116443.26"/>
    <n v="-8904699"/>
    <n v="21563.566666666666"/>
    <n v="180"/>
    <n v="12786141.696433662"/>
    <n v="2024"/>
    <x v="77"/>
  </r>
  <r>
    <x v="144"/>
    <x v="143"/>
    <x v="2"/>
    <x v="2"/>
    <n v="1"/>
    <n v="4"/>
    <n v="56"/>
    <n v="246"/>
    <n v="2016"/>
    <n v="4745005"/>
    <x v="144"/>
    <x v="0"/>
    <x v="3"/>
    <s v="Cash"/>
    <n v="288"/>
    <n v="214534.05"/>
    <n v="2406130"/>
    <n v="29069.654471544716"/>
    <n v="246"/>
    <n v="4745004.4929130739"/>
    <n v="2024"/>
    <x v="82"/>
  </r>
  <r>
    <x v="145"/>
    <x v="144"/>
    <x v="3"/>
    <x v="0"/>
    <n v="1"/>
    <n v="4"/>
    <n v="133"/>
    <n v="180"/>
    <n v="2012"/>
    <n v="9347965"/>
    <x v="145"/>
    <x v="5"/>
    <x v="1"/>
    <s v="Pag-IBIG Loan"/>
    <n v="290"/>
    <n v="164481.9"/>
    <n v="-3865235"/>
    <n v="41223.533834586466"/>
    <n v="133"/>
    <n v="9347965.4134841114"/>
    <n v="2020"/>
    <x v="51"/>
  </r>
  <r>
    <x v="146"/>
    <x v="145"/>
    <x v="1"/>
    <x v="1"/>
    <n v="4"/>
    <n v="4"/>
    <n v="63"/>
    <n v="183"/>
    <n v="2013"/>
    <n v="13158583"/>
    <x v="146"/>
    <x v="4"/>
    <x v="1"/>
    <s v="Bank Loan"/>
    <n v="107"/>
    <n v="229175.78999999998"/>
    <n v="-5519390"/>
    <n v="41744.224043715847"/>
    <n v="183"/>
    <n v="13158583.419451699"/>
    <n v="2022"/>
    <x v="79"/>
  </r>
  <r>
    <x v="147"/>
    <x v="146"/>
    <x v="1"/>
    <x v="2"/>
    <n v="4"/>
    <n v="3"/>
    <n v="165"/>
    <n v="96"/>
    <n v="2020"/>
    <n v="12164404"/>
    <x v="147"/>
    <x v="8"/>
    <x v="3"/>
    <s v="Pag-IBIG Loan"/>
    <n v="123"/>
    <n v="179599.56"/>
    <n v="-6177752"/>
    <n v="62360.958333333336"/>
    <n v="96"/>
    <n v="12164404.507854886"/>
    <n v="2025"/>
    <x v="83"/>
  </r>
  <r>
    <x v="148"/>
    <x v="147"/>
    <x v="1"/>
    <x v="2"/>
    <n v="1"/>
    <n v="3"/>
    <n v="53"/>
    <n v="210"/>
    <n v="2012"/>
    <n v="9405400"/>
    <x v="148"/>
    <x v="7"/>
    <x v="3"/>
    <s v="Cash"/>
    <n v="376"/>
    <n v="311762.76"/>
    <n v="986692"/>
    <n v="49486.152380952379"/>
    <n v="210"/>
    <n v="9405399.8950930312"/>
    <n v="2020"/>
    <x v="48"/>
  </r>
  <r>
    <x v="149"/>
    <x v="148"/>
    <x v="2"/>
    <x v="2"/>
    <n v="3"/>
    <n v="1"/>
    <n v="85"/>
    <n v="83"/>
    <n v="2022"/>
    <n v="10319041"/>
    <x v="149"/>
    <x v="2"/>
    <x v="1"/>
    <s v="Bank Loan"/>
    <n v="367"/>
    <n v="181285.11"/>
    <n v="-4276204"/>
    <n v="72805.26506024097"/>
    <n v="83"/>
    <n v="10319041.414399361"/>
    <n v="2020"/>
    <x v="50"/>
  </r>
  <r>
    <x v="150"/>
    <x v="149"/>
    <x v="0"/>
    <x v="2"/>
    <n v="4"/>
    <n v="1"/>
    <n v="122"/>
    <n v="90"/>
    <n v="2011"/>
    <n v="2048866"/>
    <x v="150"/>
    <x v="6"/>
    <x v="1"/>
    <s v="Installment"/>
    <n v="376"/>
    <n v="50779.35"/>
    <n v="-356221"/>
    <n v="18807.166666666668"/>
    <n v="90"/>
    <n v="2048866.1738625171"/>
    <n v="2021"/>
    <x v="19"/>
  </r>
  <r>
    <x v="151"/>
    <x v="150"/>
    <x v="2"/>
    <x v="3"/>
    <n v="4"/>
    <n v="3"/>
    <n v="97"/>
    <n v="218"/>
    <n v="2010"/>
    <n v="8121949"/>
    <x v="151"/>
    <x v="0"/>
    <x v="1"/>
    <s v="Pag-IBIG Loan"/>
    <n v="379"/>
    <n v="86496.36"/>
    <n v="-5238737"/>
    <n v="13225.743119266055"/>
    <n v="218"/>
    <n v="8121949.6450098371"/>
    <n v="2025"/>
    <x v="42"/>
  </r>
  <r>
    <x v="152"/>
    <x v="151"/>
    <x v="2"/>
    <x v="0"/>
    <n v="4"/>
    <n v="3"/>
    <n v="110"/>
    <n v="186"/>
    <n v="2010"/>
    <n v="8559367"/>
    <x v="152"/>
    <x v="7"/>
    <x v="1"/>
    <s v="Bank Loan"/>
    <n v="214"/>
    <n v="157826.1"/>
    <n v="-3298497"/>
    <n v="28284.247311827956"/>
    <n v="186"/>
    <n v="8559367.3853669316"/>
    <n v="2022"/>
    <x v="20"/>
  </r>
  <r>
    <x v="153"/>
    <x v="152"/>
    <x v="3"/>
    <x v="3"/>
    <n v="4"/>
    <n v="2"/>
    <n v="98"/>
    <n v="146"/>
    <n v="2018"/>
    <n v="10546774"/>
    <x v="153"/>
    <x v="8"/>
    <x v="1"/>
    <s v="Pag-IBIG Loan"/>
    <n v="242"/>
    <n v="69755.37"/>
    <n v="-8221595"/>
    <n v="23726.316326530614"/>
    <n v="98"/>
    <n v="10546774.779536473"/>
    <n v="2021"/>
    <x v="9"/>
  </r>
  <r>
    <x v="154"/>
    <x v="153"/>
    <x v="3"/>
    <x v="2"/>
    <n v="2"/>
    <n v="2"/>
    <n v="54"/>
    <n v="130"/>
    <n v="2010"/>
    <n v="2368046"/>
    <x v="154"/>
    <x v="3"/>
    <x v="3"/>
    <s v="Pag-IBIG Loan"/>
    <n v="136"/>
    <n v="82375.17"/>
    <n v="377793"/>
    <n v="50848.870370370372"/>
    <n v="54"/>
    <n v="2368045.8404621361"/>
    <n v="2022"/>
    <x v="55"/>
  </r>
  <r>
    <x v="155"/>
    <x v="154"/>
    <x v="2"/>
    <x v="0"/>
    <n v="4"/>
    <n v="3"/>
    <n v="128"/>
    <n v="64"/>
    <n v="2019"/>
    <n v="6152935"/>
    <x v="155"/>
    <x v="3"/>
    <x v="3"/>
    <s v="Bank Loan"/>
    <n v="110"/>
    <n v="245435.78999999998"/>
    <n v="2028258"/>
    <n v="127831.140625"/>
    <n v="64"/>
    <n v="6152934.6703592679"/>
    <n v="2021"/>
    <x v="29"/>
  </r>
  <r>
    <x v="156"/>
    <x v="155"/>
    <x v="3"/>
    <x v="0"/>
    <n v="2"/>
    <n v="3"/>
    <n v="149"/>
    <n v="124"/>
    <n v="2010"/>
    <n v="8539920"/>
    <x v="156"/>
    <x v="3"/>
    <x v="1"/>
    <s v="Cash"/>
    <n v="114"/>
    <n v="309285.02999999997"/>
    <n v="1769581"/>
    <n v="69191.281879194634"/>
    <n v="149"/>
    <n v="8539919.7927871682"/>
    <n v="2024"/>
    <x v="4"/>
  </r>
  <r>
    <x v="157"/>
    <x v="156"/>
    <x v="0"/>
    <x v="0"/>
    <n v="2"/>
    <n v="4"/>
    <n v="87"/>
    <n v="199"/>
    <n v="2019"/>
    <n v="12488683"/>
    <x v="157"/>
    <x v="4"/>
    <x v="1"/>
    <s v="Cash"/>
    <n v="211"/>
    <n v="179794.91999999998"/>
    <n v="-6495519"/>
    <n v="30116.402010050253"/>
    <n v="199"/>
    <n v="12488683.520112408"/>
    <n v="2019"/>
    <x v="71"/>
  </r>
  <r>
    <x v="158"/>
    <x v="157"/>
    <x v="0"/>
    <x v="1"/>
    <n v="2"/>
    <n v="1"/>
    <n v="166"/>
    <n v="150"/>
    <n v="2017"/>
    <n v="9454371"/>
    <x v="158"/>
    <x v="3"/>
    <x v="3"/>
    <s v="Cash"/>
    <n v="268"/>
    <n v="315776.27999999997"/>
    <n v="1071505"/>
    <n v="70172.506666666668"/>
    <n v="150"/>
    <n v="9454370.8866656497"/>
    <n v="2019"/>
    <x v="78"/>
  </r>
  <r>
    <x v="159"/>
    <x v="158"/>
    <x v="1"/>
    <x v="3"/>
    <n v="1"/>
    <n v="2"/>
    <n v="182"/>
    <n v="192"/>
    <n v="2015"/>
    <n v="14089213"/>
    <x v="159"/>
    <x v="4"/>
    <x v="0"/>
    <s v="Bank Loan"/>
    <n v="395"/>
    <n v="144357.87"/>
    <n v="-9277284"/>
    <n v="25062.130208333332"/>
    <n v="192"/>
    <n v="14089213.658467155"/>
    <n v="2020"/>
    <x v="63"/>
  </r>
  <r>
    <x v="160"/>
    <x v="159"/>
    <x v="2"/>
    <x v="2"/>
    <n v="1"/>
    <n v="1"/>
    <n v="129"/>
    <n v="99"/>
    <n v="2017"/>
    <n v="7143732"/>
    <x v="160"/>
    <x v="2"/>
    <x v="2"/>
    <s v="Installment"/>
    <n v="138"/>
    <n v="108449.19"/>
    <n v="-3528759"/>
    <n v="36514.878787878784"/>
    <n v="99"/>
    <n v="7143732.4939657589"/>
    <n v="2021"/>
    <x v="84"/>
  </r>
  <r>
    <x v="161"/>
    <x v="160"/>
    <x v="2"/>
    <x v="2"/>
    <n v="1"/>
    <n v="4"/>
    <n v="107"/>
    <n v="105"/>
    <n v="2020"/>
    <n v="9457621"/>
    <x v="161"/>
    <x v="6"/>
    <x v="1"/>
    <s v="Cash"/>
    <n v="340"/>
    <n v="307726.38"/>
    <n v="799925"/>
    <n v="97690.914285714287"/>
    <n v="105"/>
    <n v="9457620.915420061"/>
    <n v="2019"/>
    <x v="47"/>
  </r>
  <r>
    <x v="162"/>
    <x v="161"/>
    <x v="0"/>
    <x v="1"/>
    <n v="2"/>
    <n v="4"/>
    <n v="144"/>
    <n v="216"/>
    <n v="2013"/>
    <n v="3109581"/>
    <x v="162"/>
    <x v="5"/>
    <x v="1"/>
    <s v="Installment"/>
    <n v="273"/>
    <n v="328176.45"/>
    <n v="7829634"/>
    <n v="50644.513888888891"/>
    <n v="216"/>
    <n v="3109578.4820935684"/>
    <n v="2025"/>
    <x v="24"/>
  </r>
  <r>
    <x v="163"/>
    <x v="162"/>
    <x v="0"/>
    <x v="3"/>
    <n v="4"/>
    <n v="2"/>
    <n v="92"/>
    <n v="96"/>
    <n v="2016"/>
    <n v="12730666"/>
    <x v="163"/>
    <x v="5"/>
    <x v="3"/>
    <s v="Installment"/>
    <n v="191"/>
    <n v="88791.09"/>
    <n v="-9770963"/>
    <n v="30830.239583333332"/>
    <n v="96"/>
    <n v="12730666.767513892"/>
    <n v="2024"/>
    <x v="17"/>
  </r>
  <r>
    <x v="164"/>
    <x v="73"/>
    <x v="0"/>
    <x v="0"/>
    <n v="3"/>
    <n v="3"/>
    <n v="136"/>
    <n v="224"/>
    <n v="2012"/>
    <n v="3881785"/>
    <x v="164"/>
    <x v="0"/>
    <x v="2"/>
    <s v="Cash"/>
    <n v="337"/>
    <n v="331377.42"/>
    <n v="7164129"/>
    <n v="49312.116071428572"/>
    <n v="224"/>
    <n v="3881783.1544240601"/>
    <n v="2018"/>
    <x v="56"/>
  </r>
  <r>
    <x v="165"/>
    <x v="163"/>
    <x v="0"/>
    <x v="2"/>
    <n v="2"/>
    <n v="2"/>
    <n v="49"/>
    <n v="152"/>
    <n v="2021"/>
    <n v="11105926"/>
    <x v="165"/>
    <x v="6"/>
    <x v="0"/>
    <s v="Bank Loan"/>
    <n v="158"/>
    <n v="97223.22"/>
    <n v="-7865152"/>
    <n v="21320.88157894737"/>
    <n v="152"/>
    <n v="11105926.708194166"/>
    <n v="2019"/>
    <x v="85"/>
  </r>
  <r>
    <x v="166"/>
    <x v="164"/>
    <x v="0"/>
    <x v="2"/>
    <n v="2"/>
    <n v="4"/>
    <n v="111"/>
    <n v="228"/>
    <n v="2016"/>
    <n v="10336342"/>
    <x v="166"/>
    <x v="3"/>
    <x v="2"/>
    <s v="Installment"/>
    <n v="110"/>
    <n v="172677.36"/>
    <n v="-4580430"/>
    <n v="25245.228070175439"/>
    <n v="228"/>
    <n v="10336342.443138395"/>
    <n v="2019"/>
    <x v="47"/>
  </r>
  <r>
    <x v="167"/>
    <x v="165"/>
    <x v="0"/>
    <x v="3"/>
    <n v="4"/>
    <n v="4"/>
    <n v="200"/>
    <n v="100"/>
    <n v="2016"/>
    <n v="14215491"/>
    <x v="167"/>
    <x v="6"/>
    <x v="0"/>
    <s v="Installment"/>
    <n v="205"/>
    <n v="62893.649999999994"/>
    <n v="-12119036"/>
    <n v="20964.55"/>
    <n v="100"/>
    <n v="14215491.85252321"/>
    <n v="2023"/>
    <x v="64"/>
  </r>
  <r>
    <x v="168"/>
    <x v="166"/>
    <x v="2"/>
    <x v="3"/>
    <n v="3"/>
    <n v="3"/>
    <n v="90"/>
    <n v="129"/>
    <n v="2020"/>
    <n v="13473752"/>
    <x v="168"/>
    <x v="7"/>
    <x v="1"/>
    <s v="Pag-IBIG Loan"/>
    <n v="363"/>
    <n v="98200.83"/>
    <n v="-10200391"/>
    <n v="25374.891472868218"/>
    <n v="129"/>
    <n v="13473752.75705646"/>
    <n v="2024"/>
    <x v="17"/>
  </r>
  <r>
    <x v="169"/>
    <x v="167"/>
    <x v="3"/>
    <x v="2"/>
    <n v="4"/>
    <n v="2"/>
    <n v="107"/>
    <n v="170"/>
    <n v="2023"/>
    <n v="5897181"/>
    <x v="169"/>
    <x v="2"/>
    <x v="1"/>
    <s v="Pag-IBIG Loan"/>
    <n v="205"/>
    <n v="175359.57"/>
    <n v="-51862"/>
    <n v="54629.149532710282"/>
    <n v="107"/>
    <n v="5897181.008794371"/>
    <n v="2019"/>
    <x v="47"/>
  </r>
  <r>
    <x v="170"/>
    <x v="168"/>
    <x v="2"/>
    <x v="0"/>
    <n v="3"/>
    <n v="2"/>
    <n v="43"/>
    <n v="78"/>
    <n v="2010"/>
    <n v="2261902"/>
    <x v="170"/>
    <x v="5"/>
    <x v="2"/>
    <s v="Pag-IBIG Loan"/>
    <n v="232"/>
    <n v="315718.8"/>
    <n v="8262058"/>
    <n v="134922.56410256409"/>
    <n v="78"/>
    <n v="2261898.3472962137"/>
    <n v="2018"/>
    <x v="16"/>
  </r>
  <r>
    <x v="171"/>
    <x v="169"/>
    <x v="1"/>
    <x v="2"/>
    <n v="4"/>
    <n v="2"/>
    <n v="110"/>
    <n v="130"/>
    <n v="2022"/>
    <n v="11201826"/>
    <x v="171"/>
    <x v="5"/>
    <x v="2"/>
    <s v="Bank Loan"/>
    <n v="261"/>
    <n v="162894.32999999999"/>
    <n v="-5772015"/>
    <n v="41767.776923076926"/>
    <n v="130"/>
    <n v="11201826.515274474"/>
    <n v="2022"/>
    <x v="86"/>
  </r>
  <r>
    <x v="172"/>
    <x v="170"/>
    <x v="1"/>
    <x v="3"/>
    <n v="1"/>
    <n v="1"/>
    <n v="198"/>
    <n v="111"/>
    <n v="2012"/>
    <n v="4215853"/>
    <x v="172"/>
    <x v="3"/>
    <x v="1"/>
    <s v="Installment"/>
    <n v="373"/>
    <n v="48360.299999999996"/>
    <n v="-2603843"/>
    <n v="14522.612612612613"/>
    <n v="111"/>
    <n v="4215853.6176313544"/>
    <n v="2026"/>
    <x v="22"/>
  </r>
  <r>
    <x v="173"/>
    <x v="171"/>
    <x v="1"/>
    <x v="3"/>
    <n v="2"/>
    <n v="4"/>
    <n v="149"/>
    <n v="152"/>
    <n v="2012"/>
    <n v="8998465"/>
    <x v="173"/>
    <x v="5"/>
    <x v="1"/>
    <s v="Pag-IBIG Loan"/>
    <n v="367"/>
    <n v="227461.8"/>
    <n v="-1416405"/>
    <n v="49881.973684210527"/>
    <n v="152"/>
    <n v="8998465.157405179"/>
    <n v="2019"/>
    <x v="45"/>
  </r>
  <r>
    <x v="174"/>
    <x v="153"/>
    <x v="0"/>
    <x v="3"/>
    <n v="1"/>
    <n v="2"/>
    <n v="66"/>
    <n v="168"/>
    <n v="2019"/>
    <n v="14360981"/>
    <x v="174"/>
    <x v="4"/>
    <x v="3"/>
    <s v="Installment"/>
    <n v="290"/>
    <n v="293391.81"/>
    <n v="-4581254"/>
    <n v="58212.660714285717"/>
    <n v="168"/>
    <n v="14360981.319007037"/>
    <n v="2022"/>
    <x v="55"/>
  </r>
  <r>
    <x v="175"/>
    <x v="172"/>
    <x v="1"/>
    <x v="1"/>
    <n v="1"/>
    <n v="3"/>
    <n v="135"/>
    <n v="95"/>
    <n v="2012"/>
    <n v="6939511"/>
    <x v="175"/>
    <x v="2"/>
    <x v="3"/>
    <s v="Bank Loan"/>
    <n v="306"/>
    <n v="124314.42"/>
    <n v="-2795697"/>
    <n v="43619.094736842104"/>
    <n v="95"/>
    <n v="6939511.4028665712"/>
    <n v="2024"/>
    <x v="87"/>
  </r>
  <r>
    <x v="176"/>
    <x v="173"/>
    <x v="3"/>
    <x v="0"/>
    <n v="2"/>
    <n v="3"/>
    <n v="170"/>
    <n v="152"/>
    <n v="2017"/>
    <n v="3133752"/>
    <x v="176"/>
    <x v="6"/>
    <x v="0"/>
    <s v="Installment"/>
    <n v="348"/>
    <n v="182943.44999999998"/>
    <n v="2964363"/>
    <n v="35871.26470588235"/>
    <n v="170"/>
    <n v="3133751.0540530966"/>
    <n v="2020"/>
    <x v="51"/>
  </r>
  <r>
    <x v="177"/>
    <x v="174"/>
    <x v="1"/>
    <x v="3"/>
    <n v="4"/>
    <n v="1"/>
    <n v="198"/>
    <n v="167"/>
    <n v="2021"/>
    <n v="11546722"/>
    <x v="177"/>
    <x v="3"/>
    <x v="2"/>
    <s v="Installment"/>
    <n v="210"/>
    <n v="272550.59999999998"/>
    <n v="-2461702"/>
    <n v="54401.31736526946"/>
    <n v="167"/>
    <n v="11546722.213194879"/>
    <n v="2022"/>
    <x v="55"/>
  </r>
  <r>
    <x v="178"/>
    <x v="175"/>
    <x v="0"/>
    <x v="3"/>
    <n v="2"/>
    <n v="1"/>
    <n v="49"/>
    <n v="129"/>
    <n v="2022"/>
    <n v="10678281"/>
    <x v="178"/>
    <x v="3"/>
    <x v="1"/>
    <s v="Bank Loan"/>
    <n v="149"/>
    <n v="135987.6"/>
    <n v="-6145361"/>
    <n v="35138.914728682168"/>
    <n v="129"/>
    <n v="10678281.575500963"/>
    <n v="2022"/>
    <x v="5"/>
  </r>
  <r>
    <x v="179"/>
    <x v="176"/>
    <x v="1"/>
    <x v="1"/>
    <n v="2"/>
    <n v="4"/>
    <n v="157"/>
    <n v="247"/>
    <n v="2021"/>
    <n v="14443032"/>
    <x v="179"/>
    <x v="5"/>
    <x v="3"/>
    <s v="Bank Loan"/>
    <n v="276"/>
    <n v="80594.849999999991"/>
    <n v="-11756537"/>
    <n v="10876.497975708502"/>
    <n v="247"/>
    <n v="14443032.813993696"/>
    <n v="2020"/>
    <x v="34"/>
  </r>
  <r>
    <x v="180"/>
    <x v="177"/>
    <x v="3"/>
    <x v="1"/>
    <n v="2"/>
    <n v="4"/>
    <n v="146"/>
    <n v="195"/>
    <n v="2011"/>
    <n v="12420365"/>
    <x v="180"/>
    <x v="6"/>
    <x v="3"/>
    <s v="Pag-IBIG Loan"/>
    <n v="152"/>
    <n v="341858.91"/>
    <n v="-1025068"/>
    <n v="78049.979452054788"/>
    <n v="146"/>
    <n v="12420365.082531231"/>
    <n v="2024"/>
    <x v="1"/>
  </r>
  <r>
    <x v="181"/>
    <x v="147"/>
    <x v="1"/>
    <x v="1"/>
    <n v="3"/>
    <n v="3"/>
    <n v="141"/>
    <n v="99"/>
    <n v="2015"/>
    <n v="7384853"/>
    <x v="181"/>
    <x v="8"/>
    <x v="3"/>
    <s v="Cash"/>
    <n v="182"/>
    <n v="89282.12999999999"/>
    <n v="-4408782"/>
    <n v="30061.323232323233"/>
    <n v="99"/>
    <n v="7384853.5970033528"/>
    <n v="2020"/>
    <x v="48"/>
  </r>
  <r>
    <x v="182"/>
    <x v="178"/>
    <x v="1"/>
    <x v="0"/>
    <n v="3"/>
    <n v="3"/>
    <n v="68"/>
    <n v="222"/>
    <n v="2017"/>
    <n v="4000664"/>
    <x v="182"/>
    <x v="2"/>
    <x v="3"/>
    <s v="Cash"/>
    <n v="127"/>
    <n v="133774.56"/>
    <n v="458488"/>
    <n v="20086.27027027027"/>
    <n v="222"/>
    <n v="4000663.885397024"/>
    <n v="2019"/>
    <x v="18"/>
  </r>
  <r>
    <x v="183"/>
    <x v="179"/>
    <x v="3"/>
    <x v="0"/>
    <n v="4"/>
    <n v="2"/>
    <n v="152"/>
    <n v="229"/>
    <n v="2011"/>
    <n v="9568873"/>
    <x v="183"/>
    <x v="1"/>
    <x v="1"/>
    <s v="Pag-IBIG Loan"/>
    <n v="380"/>
    <n v="196631.25"/>
    <n v="-3014498"/>
    <n v="43120.88815789474"/>
    <n v="152"/>
    <n v="9568873.3150316663"/>
    <n v="2019"/>
    <x v="80"/>
  </r>
  <r>
    <x v="184"/>
    <x v="180"/>
    <x v="1"/>
    <x v="1"/>
    <n v="3"/>
    <n v="3"/>
    <n v="199"/>
    <n v="96"/>
    <n v="2010"/>
    <n v="11324900"/>
    <x v="184"/>
    <x v="3"/>
    <x v="3"/>
    <s v="Installment"/>
    <n v="297"/>
    <n v="115854.95999999999"/>
    <n v="-7463068"/>
    <n v="40227.416666666664"/>
    <n v="96"/>
    <n v="11324900.658996372"/>
    <n v="2024"/>
    <x v="4"/>
  </r>
  <r>
    <x v="185"/>
    <x v="181"/>
    <x v="0"/>
    <x v="3"/>
    <n v="3"/>
    <n v="3"/>
    <n v="127"/>
    <n v="153"/>
    <n v="2015"/>
    <n v="12769195"/>
    <x v="185"/>
    <x v="2"/>
    <x v="3"/>
    <s v="Installment"/>
    <n v="259"/>
    <n v="130537.01999999999"/>
    <n v="-8417961"/>
    <n v="28439.437908496733"/>
    <n v="153"/>
    <n v="12769195.659239756"/>
    <n v="2021"/>
    <x v="88"/>
  </r>
  <r>
    <x v="186"/>
    <x v="182"/>
    <x v="1"/>
    <x v="3"/>
    <n v="4"/>
    <n v="1"/>
    <n v="103"/>
    <n v="165"/>
    <n v="2014"/>
    <n v="9618850"/>
    <x v="186"/>
    <x v="6"/>
    <x v="0"/>
    <s v="Cash"/>
    <n v="142"/>
    <n v="198482.43"/>
    <n v="-3002769"/>
    <n v="40097.460606060609"/>
    <n v="165"/>
    <n v="9618850.3121754676"/>
    <n v="2019"/>
    <x v="26"/>
  </r>
  <r>
    <x v="187"/>
    <x v="183"/>
    <x v="1"/>
    <x v="1"/>
    <n v="2"/>
    <n v="1"/>
    <n v="127"/>
    <n v="215"/>
    <n v="2023"/>
    <n v="11432776"/>
    <x v="187"/>
    <x v="5"/>
    <x v="1"/>
    <s v="Cash"/>
    <n v="233"/>
    <n v="301774.05"/>
    <n v="-1373641"/>
    <n v="46786.674418604649"/>
    <n v="215"/>
    <n v="11432776.120149385"/>
    <n v="2018"/>
    <x v="89"/>
  </r>
  <r>
    <x v="188"/>
    <x v="184"/>
    <x v="0"/>
    <x v="1"/>
    <n v="1"/>
    <n v="1"/>
    <n v="98"/>
    <n v="86"/>
    <n v="2010"/>
    <n v="3636827"/>
    <x v="188"/>
    <x v="7"/>
    <x v="0"/>
    <s v="Bank Loan"/>
    <n v="162"/>
    <n v="83390.28"/>
    <n v="-857151"/>
    <n v="32321.81395348837"/>
    <n v="86"/>
    <n v="3636827.2356864926"/>
    <n v="2022"/>
    <x v="90"/>
  </r>
  <r>
    <x v="189"/>
    <x v="185"/>
    <x v="1"/>
    <x v="3"/>
    <n v="3"/>
    <n v="4"/>
    <n v="114"/>
    <n v="135"/>
    <n v="2010"/>
    <n v="14726486"/>
    <x v="189"/>
    <x v="1"/>
    <x v="2"/>
    <s v="Cash"/>
    <n v="146"/>
    <n v="82027.17"/>
    <n v="-11992247"/>
    <n v="20253.62222222222"/>
    <n v="135"/>
    <n v="14726486.814331878"/>
    <n v="2025"/>
    <x v="83"/>
  </r>
  <r>
    <x v="190"/>
    <x v="186"/>
    <x v="1"/>
    <x v="1"/>
    <n v="1"/>
    <n v="3"/>
    <n v="59"/>
    <n v="144"/>
    <n v="2011"/>
    <n v="7785651"/>
    <x v="190"/>
    <x v="7"/>
    <x v="0"/>
    <s v="Cash"/>
    <n v="313"/>
    <n v="317702.7"/>
    <n v="2804439"/>
    <n v="73542.291666666672"/>
    <n v="144"/>
    <n v="7785650.639793898"/>
    <n v="2020"/>
    <x v="51"/>
  </r>
  <r>
    <x v="191"/>
    <x v="187"/>
    <x v="2"/>
    <x v="1"/>
    <n v="4"/>
    <n v="1"/>
    <n v="104"/>
    <n v="218"/>
    <n v="2017"/>
    <n v="8954829"/>
    <x v="191"/>
    <x v="6"/>
    <x v="0"/>
    <s v="Bank Loan"/>
    <n v="381"/>
    <n v="375372.72"/>
    <n v="3557595"/>
    <n v="57396.440366972478"/>
    <n v="218"/>
    <n v="8954828.6027177069"/>
    <n v="2024"/>
    <x v="12"/>
  </r>
  <r>
    <x v="192"/>
    <x v="188"/>
    <x v="2"/>
    <x v="1"/>
    <n v="1"/>
    <n v="1"/>
    <n v="55"/>
    <n v="67"/>
    <n v="2017"/>
    <n v="3028123"/>
    <x v="192"/>
    <x v="6"/>
    <x v="3"/>
    <s v="Installment"/>
    <n v="266"/>
    <n v="51302.939999999995"/>
    <n v="-1318025"/>
    <n v="25523.850746268658"/>
    <n v="67"/>
    <n v="3028123.4352613813"/>
    <n v="2023"/>
    <x v="0"/>
  </r>
  <r>
    <x v="193"/>
    <x v="189"/>
    <x v="0"/>
    <x v="2"/>
    <n v="1"/>
    <n v="3"/>
    <n v="82"/>
    <n v="239"/>
    <n v="2022"/>
    <n v="7948140"/>
    <x v="193"/>
    <x v="0"/>
    <x v="3"/>
    <s v="Cash"/>
    <n v="302"/>
    <n v="69078.929999999993"/>
    <n v="-5645509"/>
    <n v="9634.4393305439335"/>
    <n v="239"/>
    <n v="7948140.7102931002"/>
    <n v="2022"/>
    <x v="55"/>
  </r>
  <r>
    <x v="194"/>
    <x v="190"/>
    <x v="3"/>
    <x v="3"/>
    <n v="1"/>
    <n v="2"/>
    <n v="93"/>
    <n v="218"/>
    <n v="2011"/>
    <n v="8539296"/>
    <x v="194"/>
    <x v="4"/>
    <x v="3"/>
    <s v="Installment"/>
    <n v="104"/>
    <n v="288026.33999999997"/>
    <n v="1061582"/>
    <n v="103235.24731182796"/>
    <n v="93"/>
    <n v="8539295.8756827265"/>
    <n v="2026"/>
    <x v="37"/>
  </r>
  <r>
    <x v="195"/>
    <x v="191"/>
    <x v="2"/>
    <x v="0"/>
    <n v="4"/>
    <n v="3"/>
    <n v="69"/>
    <n v="223"/>
    <n v="2023"/>
    <n v="8545226"/>
    <x v="195"/>
    <x v="7"/>
    <x v="0"/>
    <s v="Pag-IBIG Loan"/>
    <n v="347"/>
    <n v="113690.43"/>
    <n v="-4755545"/>
    <n v="16994.085201793721"/>
    <n v="223"/>
    <n v="8545226.5565148313"/>
    <n v="2024"/>
    <x v="82"/>
  </r>
  <r>
    <x v="196"/>
    <x v="192"/>
    <x v="2"/>
    <x v="3"/>
    <n v="2"/>
    <n v="2"/>
    <n v="59"/>
    <n v="185"/>
    <n v="2014"/>
    <n v="9470491"/>
    <x v="196"/>
    <x v="8"/>
    <x v="2"/>
    <s v="Cash"/>
    <n v="268"/>
    <n v="82311.239999999991"/>
    <n v="-6726783"/>
    <n v="14830.854054054054"/>
    <n v="185"/>
    <n v="9470491.7102887277"/>
    <n v="2023"/>
    <x v="68"/>
  </r>
  <r>
    <x v="197"/>
    <x v="193"/>
    <x v="2"/>
    <x v="2"/>
    <n v="4"/>
    <n v="4"/>
    <n v="79"/>
    <n v="52"/>
    <n v="2017"/>
    <n v="8040007"/>
    <x v="197"/>
    <x v="7"/>
    <x v="3"/>
    <s v="Bank Loan"/>
    <n v="249"/>
    <n v="228310.44"/>
    <n v="-429659"/>
    <n v="146352.84615384616"/>
    <n v="52"/>
    <n v="8040007.0534401275"/>
    <n v="2026"/>
    <x v="22"/>
  </r>
  <r>
    <x v="198"/>
    <x v="194"/>
    <x v="2"/>
    <x v="0"/>
    <n v="3"/>
    <n v="2"/>
    <n v="143"/>
    <n v="237"/>
    <n v="2015"/>
    <n v="12740108"/>
    <x v="198"/>
    <x v="6"/>
    <x v="0"/>
    <s v="Pag-IBIG Loan"/>
    <n v="211"/>
    <n v="56556.18"/>
    <n v="-10854902"/>
    <n v="7954.4556962025317"/>
    <n v="237"/>
    <n v="12740108.852025902"/>
    <n v="2022"/>
    <x v="14"/>
  </r>
  <r>
    <x v="199"/>
    <x v="195"/>
    <x v="1"/>
    <x v="2"/>
    <n v="3"/>
    <n v="1"/>
    <n v="96"/>
    <n v="54"/>
    <n v="2021"/>
    <n v="9575225"/>
    <x v="199"/>
    <x v="5"/>
    <x v="2"/>
    <s v="Pag-IBIG Loan"/>
    <n v="113"/>
    <n v="327198.24"/>
    <n v="1331383"/>
    <n v="201974.22222222222"/>
    <n v="54"/>
    <n v="9575224.8609554339"/>
    <n v="2026"/>
    <x v="37"/>
  </r>
  <r>
    <x v="200"/>
    <x v="196"/>
    <x v="0"/>
    <x v="2"/>
    <n v="4"/>
    <n v="1"/>
    <n v="169"/>
    <n v="223"/>
    <n v="2016"/>
    <n v="10452330"/>
    <x v="200"/>
    <x v="1"/>
    <x v="2"/>
    <s v="Bank Loan"/>
    <n v="378"/>
    <n v="241906.8"/>
    <n v="-2388770"/>
    <n v="36159.461883408068"/>
    <n v="223"/>
    <n v="10452330.228539474"/>
    <n v="2021"/>
    <x v="19"/>
  </r>
  <r>
    <x v="201"/>
    <x v="197"/>
    <x v="0"/>
    <x v="0"/>
    <n v="3"/>
    <n v="4"/>
    <n v="134"/>
    <n v="147"/>
    <n v="2020"/>
    <n v="8002454"/>
    <x v="201"/>
    <x v="6"/>
    <x v="1"/>
    <s v="Bank Loan"/>
    <n v="390"/>
    <n v="292922.49"/>
    <n v="1761629"/>
    <n v="66422.333333333328"/>
    <n v="147"/>
    <n v="8002453.7798639014"/>
    <n v="2019"/>
    <x v="59"/>
  </r>
  <r>
    <x v="202"/>
    <x v="198"/>
    <x v="3"/>
    <x v="0"/>
    <n v="3"/>
    <n v="2"/>
    <n v="84"/>
    <n v="184"/>
    <n v="2021"/>
    <n v="2101786"/>
    <x v="202"/>
    <x v="1"/>
    <x v="1"/>
    <s v="Pag-IBIG Loan"/>
    <n v="258"/>
    <n v="315538.70999999996"/>
    <n v="8416171"/>
    <n v="125213.77380952382"/>
    <n v="84"/>
    <n v="2101781.9957050811"/>
    <n v="2025"/>
    <x v="7"/>
  </r>
  <r>
    <x v="203"/>
    <x v="199"/>
    <x v="1"/>
    <x v="1"/>
    <n v="3"/>
    <n v="2"/>
    <n v="41"/>
    <n v="131"/>
    <n v="2020"/>
    <n v="8820796"/>
    <x v="203"/>
    <x v="7"/>
    <x v="0"/>
    <s v="Installment"/>
    <n v="201"/>
    <n v="100545.72"/>
    <n v="-5469272"/>
    <n v="25584.152671755724"/>
    <n v="131"/>
    <n v="8820796.6200429071"/>
    <n v="2025"/>
    <x v="7"/>
  </r>
  <r>
    <x v="204"/>
    <x v="200"/>
    <x v="0"/>
    <x v="2"/>
    <n v="2"/>
    <n v="2"/>
    <n v="104"/>
    <n v="114"/>
    <n v="2016"/>
    <n v="13988921"/>
    <x v="204"/>
    <x v="6"/>
    <x v="1"/>
    <s v="Cash"/>
    <n v="365"/>
    <n v="367516.70999999996"/>
    <n v="-1738364"/>
    <n v="107461.02631578948"/>
    <n v="114"/>
    <n v="13988921.124267196"/>
    <n v="2023"/>
    <x v="91"/>
  </r>
  <r>
    <x v="205"/>
    <x v="33"/>
    <x v="2"/>
    <x v="3"/>
    <n v="3"/>
    <n v="1"/>
    <n v="133"/>
    <n v="89"/>
    <n v="2010"/>
    <n v="3171433"/>
    <x v="205"/>
    <x v="3"/>
    <x v="3"/>
    <s v="Cash"/>
    <n v="342"/>
    <n v="108267"/>
    <n v="437467"/>
    <n v="40549.438202247191"/>
    <n v="89"/>
    <n v="3171432.8620601478"/>
    <n v="2025"/>
    <x v="28"/>
  </r>
  <r>
    <x v="206"/>
    <x v="201"/>
    <x v="1"/>
    <x v="0"/>
    <n v="2"/>
    <n v="3"/>
    <n v="51"/>
    <n v="74"/>
    <n v="2011"/>
    <n v="9043559"/>
    <x v="206"/>
    <x v="1"/>
    <x v="1"/>
    <s v="Pag-IBIG Loan"/>
    <n v="250"/>
    <n v="196662.84"/>
    <n v="-2488131"/>
    <n v="88586.864864864867"/>
    <n v="74"/>
    <n v="9043559.2751274146"/>
    <n v="2021"/>
    <x v="40"/>
  </r>
  <r>
    <x v="207"/>
    <x v="202"/>
    <x v="2"/>
    <x v="2"/>
    <n v="3"/>
    <n v="4"/>
    <n v="90"/>
    <n v="179"/>
    <n v="2015"/>
    <n v="7189383"/>
    <x v="207"/>
    <x v="8"/>
    <x v="3"/>
    <s v="Bank Loan"/>
    <n v="400"/>
    <n v="129396.23999999999"/>
    <n v="-2876175"/>
    <n v="24096.13407821229"/>
    <n v="179"/>
    <n v="7189383.40005867"/>
    <n v="2018"/>
    <x v="16"/>
  </r>
  <r>
    <x v="208"/>
    <x v="203"/>
    <x v="2"/>
    <x v="1"/>
    <n v="3"/>
    <n v="3"/>
    <n v="124"/>
    <n v="50"/>
    <n v="2017"/>
    <n v="2971463"/>
    <x v="208"/>
    <x v="4"/>
    <x v="2"/>
    <s v="Pag-IBIG Loan"/>
    <n v="124"/>
    <n v="300804.24"/>
    <n v="7055345"/>
    <n v="200536.16"/>
    <n v="50"/>
    <n v="2971460.6256325589"/>
    <n v="2019"/>
    <x v="47"/>
  </r>
  <r>
    <x v="209"/>
    <x v="204"/>
    <x v="2"/>
    <x v="2"/>
    <n v="2"/>
    <n v="2"/>
    <n v="49"/>
    <n v="235"/>
    <n v="2023"/>
    <n v="8609374"/>
    <x v="209"/>
    <x v="2"/>
    <x v="3"/>
    <s v="Bank Loan"/>
    <n v="326"/>
    <n v="255139.62"/>
    <n v="-104720"/>
    <n v="36190.017021276595"/>
    <n v="235"/>
    <n v="8609374.0121634863"/>
    <n v="2018"/>
    <x v="33"/>
  </r>
  <r>
    <x v="210"/>
    <x v="205"/>
    <x v="2"/>
    <x v="1"/>
    <n v="4"/>
    <n v="4"/>
    <n v="42"/>
    <n v="177"/>
    <n v="2015"/>
    <n v="6879364"/>
    <x v="210"/>
    <x v="3"/>
    <x v="3"/>
    <s v="Installment"/>
    <n v="157"/>
    <n v="165677.13"/>
    <n v="-1356793"/>
    <n v="31200.966101694914"/>
    <n v="177"/>
    <n v="6879364.1972265169"/>
    <n v="2023"/>
    <x v="64"/>
  </r>
  <r>
    <x v="211"/>
    <x v="206"/>
    <x v="0"/>
    <x v="1"/>
    <n v="4"/>
    <n v="4"/>
    <n v="50"/>
    <n v="245"/>
    <n v="2010"/>
    <n v="13028982"/>
    <x v="211"/>
    <x v="7"/>
    <x v="1"/>
    <s v="Bank Loan"/>
    <n v="282"/>
    <n v="72104.429999999993"/>
    <n v="-10625501"/>
    <n v="9810.1265306122441"/>
    <n v="245"/>
    <n v="13028982.815528104"/>
    <n v="2025"/>
    <x v="28"/>
  </r>
  <r>
    <x v="212"/>
    <x v="207"/>
    <x v="1"/>
    <x v="1"/>
    <n v="2"/>
    <n v="3"/>
    <n v="132"/>
    <n v="149"/>
    <n v="2010"/>
    <n v="6751297"/>
    <x v="212"/>
    <x v="4"/>
    <x v="3"/>
    <s v="Pag-IBIG Loan"/>
    <n v="227"/>
    <n v="235297.35"/>
    <n v="1091948"/>
    <n v="52639.228187919463"/>
    <n v="149"/>
    <n v="6751296.8382610036"/>
    <n v="2025"/>
    <x v="92"/>
  </r>
  <r>
    <x v="213"/>
    <x v="208"/>
    <x v="0"/>
    <x v="0"/>
    <n v="2"/>
    <n v="3"/>
    <n v="162"/>
    <n v="195"/>
    <n v="2019"/>
    <n v="14097021"/>
    <x v="213"/>
    <x v="8"/>
    <x v="2"/>
    <s v="Cash"/>
    <n v="143"/>
    <n v="289326.65999999997"/>
    <n v="-4452799"/>
    <n v="49457.548717948717"/>
    <n v="195"/>
    <n v="14097021.315868083"/>
    <n v="2018"/>
    <x v="67"/>
  </r>
  <r>
    <x v="214"/>
    <x v="209"/>
    <x v="0"/>
    <x v="1"/>
    <n v="3"/>
    <n v="2"/>
    <n v="68"/>
    <n v="120"/>
    <n v="2023"/>
    <n v="2268224"/>
    <x v="214"/>
    <x v="6"/>
    <x v="1"/>
    <s v="Installment"/>
    <n v="167"/>
    <n v="128616.06"/>
    <n v="2018978"/>
    <n v="35726.683333333334"/>
    <n v="120"/>
    <n v="2268223.1098859725"/>
    <n v="2025"/>
    <x v="24"/>
  </r>
  <r>
    <x v="215"/>
    <x v="210"/>
    <x v="3"/>
    <x v="0"/>
    <n v="1"/>
    <n v="2"/>
    <n v="155"/>
    <n v="92"/>
    <n v="2014"/>
    <n v="14989192"/>
    <x v="215"/>
    <x v="7"/>
    <x v="1"/>
    <s v="Installment"/>
    <n v="212"/>
    <n v="190828.08"/>
    <n v="-8628256"/>
    <n v="41038.29677419355"/>
    <n v="155"/>
    <n v="14989192.575631829"/>
    <n v="2026"/>
    <x v="52"/>
  </r>
  <r>
    <x v="216"/>
    <x v="211"/>
    <x v="3"/>
    <x v="1"/>
    <n v="2"/>
    <n v="4"/>
    <n v="140"/>
    <n v="163"/>
    <n v="2019"/>
    <n v="14375821"/>
    <x v="216"/>
    <x v="8"/>
    <x v="0"/>
    <s v="Bank Loan"/>
    <n v="181"/>
    <n v="176702.03999999998"/>
    <n v="-8485753"/>
    <n v="42071.914285714287"/>
    <n v="140"/>
    <n v="14375821.59027954"/>
    <n v="2018"/>
    <x v="74"/>
  </r>
  <r>
    <x v="217"/>
    <x v="212"/>
    <x v="1"/>
    <x v="0"/>
    <n v="1"/>
    <n v="1"/>
    <n v="53"/>
    <n v="67"/>
    <n v="2013"/>
    <n v="3222084"/>
    <x v="217"/>
    <x v="0"/>
    <x v="3"/>
    <s v="Pag-IBIG Loan"/>
    <n v="318"/>
    <n v="121746.72"/>
    <n v="836140"/>
    <n v="60570.507462686568"/>
    <n v="67"/>
    <n v="3222083.7404971439"/>
    <n v="2022"/>
    <x v="79"/>
  </r>
  <r>
    <x v="218"/>
    <x v="213"/>
    <x v="3"/>
    <x v="0"/>
    <n v="3"/>
    <n v="4"/>
    <n v="90"/>
    <n v="77"/>
    <n v="2014"/>
    <n v="7814111"/>
    <x v="218"/>
    <x v="3"/>
    <x v="0"/>
    <s v="Installment"/>
    <n v="360"/>
    <n v="229128.44999999998"/>
    <n v="-176496"/>
    <n v="84862.388888888891"/>
    <n v="90"/>
    <n v="7814111.02258683"/>
    <n v="2019"/>
    <x v="78"/>
  </r>
  <r>
    <x v="219"/>
    <x v="214"/>
    <x v="1"/>
    <x v="3"/>
    <n v="2"/>
    <n v="4"/>
    <n v="104"/>
    <n v="139"/>
    <n v="2013"/>
    <n v="5074217"/>
    <x v="219"/>
    <x v="5"/>
    <x v="1"/>
    <s v="Pag-IBIG Loan"/>
    <n v="147"/>
    <n v="77640.42"/>
    <n v="-2486203"/>
    <n v="18618.805755395682"/>
    <n v="139"/>
    <n v="5074217.4899678119"/>
    <n v="2024"/>
    <x v="31"/>
  </r>
  <r>
    <x v="220"/>
    <x v="215"/>
    <x v="3"/>
    <x v="1"/>
    <n v="3"/>
    <n v="1"/>
    <n v="172"/>
    <n v="178"/>
    <n v="2011"/>
    <n v="10160204"/>
    <x v="220"/>
    <x v="1"/>
    <x v="0"/>
    <s v="Pag-IBIG Loan"/>
    <n v="229"/>
    <n v="214041.84"/>
    <n v="-3025476"/>
    <n v="41480.976744186046"/>
    <n v="172"/>
    <n v="10160204.297777092"/>
    <n v="2025"/>
    <x v="28"/>
  </r>
  <r>
    <x v="221"/>
    <x v="216"/>
    <x v="2"/>
    <x v="2"/>
    <n v="1"/>
    <n v="1"/>
    <n v="118"/>
    <n v="151"/>
    <n v="2012"/>
    <n v="5787174"/>
    <x v="221"/>
    <x v="5"/>
    <x v="1"/>
    <s v="Installment"/>
    <n v="290"/>
    <n v="139211.57999999999"/>
    <n v="-1146788"/>
    <n v="30731.03311258278"/>
    <n v="151"/>
    <n v="5787174.1981602767"/>
    <n v="2023"/>
    <x v="93"/>
  </r>
  <r>
    <x v="222"/>
    <x v="217"/>
    <x v="1"/>
    <x v="1"/>
    <n v="3"/>
    <n v="4"/>
    <n v="149"/>
    <n v="106"/>
    <n v="2023"/>
    <n v="3113379"/>
    <x v="222"/>
    <x v="2"/>
    <x v="0"/>
    <s v="Cash"/>
    <n v="134"/>
    <n v="270009.45"/>
    <n v="5886936"/>
    <n v="84908.632075471702"/>
    <n v="106"/>
    <n v="3113377.1091489345"/>
    <n v="2020"/>
    <x v="63"/>
  </r>
  <r>
    <x v="223"/>
    <x v="218"/>
    <x v="0"/>
    <x v="0"/>
    <n v="2"/>
    <n v="2"/>
    <n v="149"/>
    <n v="178"/>
    <n v="2023"/>
    <n v="8427090"/>
    <x v="223"/>
    <x v="1"/>
    <x v="2"/>
    <s v="Pag-IBIG Loan"/>
    <n v="249"/>
    <n v="95324.28"/>
    <n v="-5249614"/>
    <n v="17850.988764044945"/>
    <n v="178"/>
    <n v="8427090.6229450498"/>
    <n v="2023"/>
    <x v="75"/>
  </r>
  <r>
    <x v="224"/>
    <x v="219"/>
    <x v="2"/>
    <x v="3"/>
    <n v="1"/>
    <n v="3"/>
    <n v="191"/>
    <n v="131"/>
    <n v="2021"/>
    <n v="10598896"/>
    <x v="224"/>
    <x v="4"/>
    <x v="2"/>
    <s v="Pag-IBIG Loan"/>
    <n v="268"/>
    <n v="165292.62"/>
    <n v="-5089142"/>
    <n v="42059.19083969466"/>
    <n v="131"/>
    <n v="10598896.480157744"/>
    <n v="2024"/>
    <x v="82"/>
  </r>
  <r>
    <x v="225"/>
    <x v="153"/>
    <x v="0"/>
    <x v="0"/>
    <n v="2"/>
    <n v="2"/>
    <n v="85"/>
    <n v="115"/>
    <n v="2012"/>
    <n v="14650498"/>
    <x v="225"/>
    <x v="7"/>
    <x v="2"/>
    <s v="Installment"/>
    <n v="177"/>
    <n v="309114.57"/>
    <n v="-4346679"/>
    <n v="89598.426086956519"/>
    <n v="115"/>
    <n v="14650498.296691554"/>
    <n v="2022"/>
    <x v="55"/>
  </r>
  <r>
    <x v="226"/>
    <x v="220"/>
    <x v="0"/>
    <x v="1"/>
    <n v="4"/>
    <n v="4"/>
    <n v="152"/>
    <n v="222"/>
    <n v="2014"/>
    <n v="14546075"/>
    <x v="226"/>
    <x v="5"/>
    <x v="0"/>
    <s v="Cash"/>
    <n v="318"/>
    <n v="54473.43"/>
    <n v="-12730294"/>
    <n v="8179.1936936936936"/>
    <n v="222"/>
    <n v="14546075.875170382"/>
    <n v="2026"/>
    <x v="22"/>
  </r>
  <r>
    <x v="227"/>
    <x v="221"/>
    <x v="2"/>
    <x v="1"/>
    <n v="1"/>
    <n v="3"/>
    <n v="189"/>
    <n v="64"/>
    <n v="2018"/>
    <n v="12155013"/>
    <x v="227"/>
    <x v="5"/>
    <x v="3"/>
    <s v="Pag-IBIG Loan"/>
    <n v="284"/>
    <n v="382293.26999999996"/>
    <n v="588096"/>
    <n v="199111.078125"/>
    <n v="64"/>
    <n v="12155012.951616999"/>
    <n v="2024"/>
    <x v="4"/>
  </r>
  <r>
    <x v="228"/>
    <x v="222"/>
    <x v="2"/>
    <x v="1"/>
    <n v="4"/>
    <n v="3"/>
    <n v="176"/>
    <n v="184"/>
    <n v="2014"/>
    <n v="5362647"/>
    <x v="228"/>
    <x v="4"/>
    <x v="2"/>
    <s v="Cash"/>
    <n v="201"/>
    <n v="86805.54"/>
    <n v="-2469129"/>
    <n v="15725.641304347826"/>
    <n v="184"/>
    <n v="5362647.4604310151"/>
    <n v="2025"/>
    <x v="24"/>
  </r>
  <r>
    <x v="229"/>
    <x v="223"/>
    <x v="3"/>
    <x v="3"/>
    <n v="1"/>
    <n v="3"/>
    <n v="183"/>
    <n v="119"/>
    <n v="2011"/>
    <n v="5017253"/>
    <x v="229"/>
    <x v="5"/>
    <x v="1"/>
    <s v="Installment"/>
    <n v="212"/>
    <n v="216784.44"/>
    <n v="2208895"/>
    <n v="39487.147540983606"/>
    <n v="183"/>
    <n v="5017252.5597401606"/>
    <n v="2024"/>
    <x v="82"/>
  </r>
  <r>
    <x v="230"/>
    <x v="224"/>
    <x v="1"/>
    <x v="2"/>
    <n v="2"/>
    <n v="2"/>
    <n v="109"/>
    <n v="187"/>
    <n v="2021"/>
    <n v="5938162"/>
    <x v="230"/>
    <x v="1"/>
    <x v="1"/>
    <s v="Cash"/>
    <n v="186"/>
    <n v="351576.87"/>
    <n v="5781067"/>
    <n v="62669.673796791445"/>
    <n v="187"/>
    <n v="5938161.0264551556"/>
    <n v="2018"/>
    <x v="33"/>
  </r>
  <r>
    <x v="231"/>
    <x v="225"/>
    <x v="0"/>
    <x v="1"/>
    <n v="1"/>
    <n v="2"/>
    <n v="151"/>
    <n v="242"/>
    <n v="2017"/>
    <n v="9847373"/>
    <x v="231"/>
    <x v="2"/>
    <x v="3"/>
    <s v="Bank Loan"/>
    <n v="120"/>
    <n v="306782.61"/>
    <n v="378714"/>
    <n v="42256.557851239668"/>
    <n v="242"/>
    <n v="9847372.961541621"/>
    <n v="2023"/>
    <x v="91"/>
  </r>
  <r>
    <x v="232"/>
    <x v="226"/>
    <x v="2"/>
    <x v="3"/>
    <n v="1"/>
    <n v="1"/>
    <n v="45"/>
    <n v="239"/>
    <n v="2013"/>
    <n v="2719711"/>
    <x v="232"/>
    <x v="8"/>
    <x v="3"/>
    <s v="Cash"/>
    <n v="238"/>
    <n v="93877.89"/>
    <n v="409552"/>
    <n v="13093.150627615063"/>
    <n v="239"/>
    <n v="2719710.8494134122"/>
    <n v="2018"/>
    <x v="16"/>
  </r>
  <r>
    <x v="233"/>
    <x v="227"/>
    <x v="2"/>
    <x v="0"/>
    <n v="3"/>
    <n v="2"/>
    <n v="139"/>
    <n v="119"/>
    <n v="2021"/>
    <n v="4988256"/>
    <x v="233"/>
    <x v="8"/>
    <x v="2"/>
    <s v="Cash"/>
    <n v="354"/>
    <n v="247594.97999999998"/>
    <n v="3264910"/>
    <n v="69354.336134453784"/>
    <n v="119"/>
    <n v="4988255.3454806646"/>
    <n v="2018"/>
    <x v="33"/>
  </r>
  <r>
    <x v="234"/>
    <x v="228"/>
    <x v="2"/>
    <x v="1"/>
    <n v="1"/>
    <n v="4"/>
    <n v="155"/>
    <n v="156"/>
    <n v="2012"/>
    <n v="10576815"/>
    <x v="234"/>
    <x v="5"/>
    <x v="3"/>
    <s v="Bank Loan"/>
    <n v="278"/>
    <n v="340751.43"/>
    <n v="781566"/>
    <n v="72810.13461538461"/>
    <n v="156"/>
    <n v="10576814.926105732"/>
    <n v="2022"/>
    <x v="86"/>
  </r>
  <r>
    <x v="235"/>
    <x v="229"/>
    <x v="2"/>
    <x v="2"/>
    <n v="2"/>
    <n v="2"/>
    <n v="78"/>
    <n v="178"/>
    <n v="2018"/>
    <n v="9830894"/>
    <x v="235"/>
    <x v="1"/>
    <x v="3"/>
    <s v="Pag-IBIG Loan"/>
    <n v="161"/>
    <n v="250589.37"/>
    <n v="-1477915"/>
    <n v="46926.848314606745"/>
    <n v="178"/>
    <n v="9830894.1503337342"/>
    <n v="2022"/>
    <x v="15"/>
  </r>
  <r>
    <x v="236"/>
    <x v="230"/>
    <x v="2"/>
    <x v="2"/>
    <n v="2"/>
    <n v="4"/>
    <n v="143"/>
    <n v="135"/>
    <n v="2014"/>
    <n v="3120020"/>
    <x v="236"/>
    <x v="1"/>
    <x v="3"/>
    <s v="Installment"/>
    <n v="331"/>
    <n v="377321.79"/>
    <n v="9457373"/>
    <n v="93165.874074074076"/>
    <n v="135"/>
    <n v="3120016.968810136"/>
    <n v="2018"/>
    <x v="67"/>
  </r>
  <r>
    <x v="237"/>
    <x v="231"/>
    <x v="0"/>
    <x v="2"/>
    <n v="4"/>
    <n v="2"/>
    <n v="88"/>
    <n v="142"/>
    <n v="2019"/>
    <n v="11121345"/>
    <x v="237"/>
    <x v="8"/>
    <x v="3"/>
    <s v="Bank Loan"/>
    <n v="222"/>
    <n v="293248.2"/>
    <n v="-1346405"/>
    <n v="68837.605633802814"/>
    <n v="142"/>
    <n v="11121345.121064942"/>
    <n v="2019"/>
    <x v="81"/>
  </r>
  <r>
    <x v="238"/>
    <x v="232"/>
    <x v="2"/>
    <x v="0"/>
    <n v="4"/>
    <n v="4"/>
    <n v="108"/>
    <n v="77"/>
    <n v="2015"/>
    <n v="5444631"/>
    <x v="238"/>
    <x v="7"/>
    <x v="0"/>
    <s v="Installment"/>
    <n v="116"/>
    <n v="371022.66"/>
    <n v="6922791"/>
    <n v="160615.87012987013"/>
    <n v="77"/>
    <n v="5444629.7285105269"/>
    <n v="2022"/>
    <x v="86"/>
  </r>
  <r>
    <x v="239"/>
    <x v="233"/>
    <x v="3"/>
    <x v="2"/>
    <n v="4"/>
    <n v="3"/>
    <n v="157"/>
    <n v="146"/>
    <n v="2012"/>
    <n v="11905514"/>
    <x v="239"/>
    <x v="7"/>
    <x v="3"/>
    <s v="Cash"/>
    <n v="173"/>
    <n v="375288.6"/>
    <n v="604106"/>
    <n v="79679.108280254775"/>
    <n v="157"/>
    <n v="11905513.949258301"/>
    <n v="2025"/>
    <x v="58"/>
  </r>
  <r>
    <x v="240"/>
    <x v="234"/>
    <x v="0"/>
    <x v="2"/>
    <n v="3"/>
    <n v="4"/>
    <n v="160"/>
    <n v="111"/>
    <n v="2012"/>
    <n v="4515342"/>
    <x v="240"/>
    <x v="8"/>
    <x v="0"/>
    <s v="Pag-IBIG Loan"/>
    <n v="130"/>
    <n v="114859.95"/>
    <n v="-686677"/>
    <n v="34492.477477477478"/>
    <n v="111"/>
    <n v="4515342.1520764101"/>
    <n v="2019"/>
    <x v="71"/>
  </r>
  <r>
    <x v="241"/>
    <x v="235"/>
    <x v="2"/>
    <x v="1"/>
    <n v="1"/>
    <n v="3"/>
    <n v="57"/>
    <n v="71"/>
    <n v="2022"/>
    <n v="9866812"/>
    <x v="241"/>
    <x v="6"/>
    <x v="3"/>
    <s v="Pag-IBIG Loan"/>
    <n v="162"/>
    <n v="185720.31"/>
    <n v="-3676135"/>
    <n v="87192.633802816898"/>
    <n v="71"/>
    <n v="9866812.3725757618"/>
    <n v="2023"/>
    <x v="64"/>
  </r>
  <r>
    <x v="242"/>
    <x v="236"/>
    <x v="3"/>
    <x v="0"/>
    <n v="2"/>
    <n v="2"/>
    <n v="173"/>
    <n v="72"/>
    <n v="2013"/>
    <n v="11711376"/>
    <x v="242"/>
    <x v="7"/>
    <x v="2"/>
    <s v="Cash"/>
    <n v="223"/>
    <n v="176069.16"/>
    <n v="-5842404"/>
    <n v="33924.693641618498"/>
    <n v="173"/>
    <n v="11711376.498865718"/>
    <n v="2024"/>
    <x v="77"/>
  </r>
  <r>
    <x v="243"/>
    <x v="237"/>
    <x v="2"/>
    <x v="2"/>
    <n v="2"/>
    <n v="1"/>
    <n v="119"/>
    <n v="155"/>
    <n v="2017"/>
    <n v="4973139"/>
    <x v="243"/>
    <x v="6"/>
    <x v="0"/>
    <s v="Pag-IBIG Loan"/>
    <n v="359"/>
    <n v="114353.97"/>
    <n v="-1161340"/>
    <n v="24592.251612903226"/>
    <n v="155"/>
    <n v="4973139.2335225297"/>
    <n v="2021"/>
    <x v="94"/>
  </r>
  <r>
    <x v="244"/>
    <x v="238"/>
    <x v="1"/>
    <x v="0"/>
    <n v="1"/>
    <n v="1"/>
    <n v="143"/>
    <n v="101"/>
    <n v="2016"/>
    <n v="6169789"/>
    <x v="244"/>
    <x v="0"/>
    <x v="1"/>
    <s v="Cash"/>
    <n v="140"/>
    <n v="277346.01"/>
    <n v="3075078"/>
    <n v="91533.336633663363"/>
    <n v="101"/>
    <n v="6169788.5015910594"/>
    <n v="2018"/>
    <x v="74"/>
  </r>
  <r>
    <x v="245"/>
    <x v="239"/>
    <x v="0"/>
    <x v="0"/>
    <n v="4"/>
    <n v="1"/>
    <n v="68"/>
    <n v="137"/>
    <n v="2015"/>
    <n v="9246724"/>
    <x v="245"/>
    <x v="6"/>
    <x v="1"/>
    <s v="Installment"/>
    <n v="254"/>
    <n v="54188.7"/>
    <n v="-7440434"/>
    <n v="13184.598540145986"/>
    <n v="137"/>
    <n v="9246724.8046562225"/>
    <n v="2023"/>
    <x v="35"/>
  </r>
  <r>
    <x v="246"/>
    <x v="240"/>
    <x v="0"/>
    <x v="3"/>
    <n v="1"/>
    <n v="3"/>
    <n v="152"/>
    <n v="54"/>
    <n v="2023"/>
    <n v="11913656"/>
    <x v="246"/>
    <x v="6"/>
    <x v="2"/>
    <s v="Pag-IBIG Loan"/>
    <n v="246"/>
    <n v="112693.23"/>
    <n v="-8157215"/>
    <n v="69563.722222222219"/>
    <n v="54"/>
    <n v="11913656.684694521"/>
    <n v="2021"/>
    <x v="69"/>
  </r>
  <r>
    <x v="247"/>
    <x v="241"/>
    <x v="2"/>
    <x v="3"/>
    <n v="4"/>
    <n v="3"/>
    <n v="41"/>
    <n v="93"/>
    <n v="2023"/>
    <n v="4385768"/>
    <x v="247"/>
    <x v="5"/>
    <x v="0"/>
    <s v="Bank Loan"/>
    <n v="376"/>
    <n v="183821.63999999998"/>
    <n v="1741620"/>
    <n v="65885.892473118278"/>
    <n v="93"/>
    <n v="4385767.6028928114"/>
    <n v="2020"/>
    <x v="8"/>
  </r>
  <r>
    <x v="248"/>
    <x v="242"/>
    <x v="3"/>
    <x v="3"/>
    <n v="1"/>
    <n v="2"/>
    <n v="189"/>
    <n v="160"/>
    <n v="2023"/>
    <n v="4989580"/>
    <x v="248"/>
    <x v="6"/>
    <x v="1"/>
    <s v="Pag-IBIG Loan"/>
    <n v="209"/>
    <n v="343175.19"/>
    <n v="6449593"/>
    <n v="60524.724867724864"/>
    <n v="189"/>
    <n v="4989578.7073875954"/>
    <n v="2022"/>
    <x v="79"/>
  </r>
  <r>
    <x v="249"/>
    <x v="243"/>
    <x v="3"/>
    <x v="0"/>
    <n v="2"/>
    <n v="4"/>
    <n v="149"/>
    <n v="168"/>
    <n v="2010"/>
    <n v="3805812"/>
    <x v="249"/>
    <x v="1"/>
    <x v="2"/>
    <s v="Bank Loan"/>
    <n v="382"/>
    <n v="246204.9"/>
    <n v="4401018"/>
    <n v="55079.395973154365"/>
    <n v="149"/>
    <n v="3805810.8436060427"/>
    <n v="2025"/>
    <x v="24"/>
  </r>
  <r>
    <x v="250"/>
    <x v="244"/>
    <x v="0"/>
    <x v="2"/>
    <n v="3"/>
    <n v="2"/>
    <n v="115"/>
    <n v="127"/>
    <n v="2015"/>
    <n v="3072273"/>
    <x v="250"/>
    <x v="2"/>
    <x v="2"/>
    <s v="Bank Loan"/>
    <n v="181"/>
    <n v="310417.86"/>
    <n v="7274989"/>
    <n v="81474.503937007874"/>
    <n v="127"/>
    <n v="3072270.6320499512"/>
    <n v="2022"/>
    <x v="13"/>
  </r>
  <r>
    <x v="251"/>
    <x v="245"/>
    <x v="0"/>
    <x v="2"/>
    <n v="1"/>
    <n v="3"/>
    <n v="71"/>
    <n v="114"/>
    <n v="2018"/>
    <n v="8421240"/>
    <x v="251"/>
    <x v="6"/>
    <x v="1"/>
    <s v="Bank Loan"/>
    <n v="337"/>
    <n v="361658.01"/>
    <n v="3634027"/>
    <n v="105747.95614035087"/>
    <n v="114"/>
    <n v="8421239.5684688948"/>
    <n v="2025"/>
    <x v="42"/>
  </r>
  <r>
    <x v="252"/>
    <x v="9"/>
    <x v="2"/>
    <x v="2"/>
    <n v="4"/>
    <n v="4"/>
    <n v="86"/>
    <n v="78"/>
    <n v="2012"/>
    <n v="13672168"/>
    <x v="252"/>
    <x v="6"/>
    <x v="1"/>
    <s v="Pag-IBIG Loan"/>
    <n v="175"/>
    <n v="228565.62"/>
    <n v="-6053314"/>
    <n v="97677.61538461539"/>
    <n v="78"/>
    <n v="13672168.442747192"/>
    <n v="2021"/>
    <x v="9"/>
  </r>
  <r>
    <x v="253"/>
    <x v="246"/>
    <x v="1"/>
    <x v="3"/>
    <n v="2"/>
    <n v="4"/>
    <n v="128"/>
    <n v="59"/>
    <n v="2017"/>
    <n v="12025929"/>
    <x v="253"/>
    <x v="0"/>
    <x v="1"/>
    <s v="Installment"/>
    <n v="244"/>
    <n v="351471.75"/>
    <n v="-310204"/>
    <n v="198571.61016949153"/>
    <n v="59"/>
    <n v="12025929.025794597"/>
    <n v="2020"/>
    <x v="25"/>
  </r>
  <r>
    <x v="254"/>
    <x v="247"/>
    <x v="3"/>
    <x v="3"/>
    <n v="4"/>
    <n v="2"/>
    <n v="130"/>
    <n v="50"/>
    <n v="2018"/>
    <n v="3325424"/>
    <x v="254"/>
    <x v="6"/>
    <x v="2"/>
    <s v="Cash"/>
    <n v="207"/>
    <n v="45232.259999999995"/>
    <n v="-1817682"/>
    <n v="11598.015384615384"/>
    <n v="130"/>
    <n v="3325424.5466015763"/>
    <n v="2023"/>
    <x v="75"/>
  </r>
  <r>
    <x v="255"/>
    <x v="248"/>
    <x v="3"/>
    <x v="1"/>
    <n v="1"/>
    <n v="2"/>
    <n v="154"/>
    <n v="217"/>
    <n v="2018"/>
    <n v="4842700"/>
    <x v="255"/>
    <x v="2"/>
    <x v="2"/>
    <s v="Bank Loan"/>
    <n v="257"/>
    <n v="375315.14999999997"/>
    <n v="7667805"/>
    <n v="81237.045454545456"/>
    <n v="154"/>
    <n v="4842698.4166260557"/>
    <n v="2026"/>
    <x v="22"/>
  </r>
  <r>
    <x v="256"/>
    <x v="249"/>
    <x v="1"/>
    <x v="2"/>
    <n v="2"/>
    <n v="3"/>
    <n v="72"/>
    <n v="78"/>
    <n v="2016"/>
    <n v="4508482"/>
    <x v="256"/>
    <x v="1"/>
    <x v="0"/>
    <s v="Pag-IBIG Loan"/>
    <n v="156"/>
    <n v="252738.21"/>
    <n v="3916125"/>
    <n v="108007.78205128205"/>
    <n v="78"/>
    <n v="4508481.1313872384"/>
    <n v="2018"/>
    <x v="89"/>
  </r>
  <r>
    <x v="257"/>
    <x v="250"/>
    <x v="1"/>
    <x v="3"/>
    <n v="2"/>
    <n v="2"/>
    <n v="66"/>
    <n v="116"/>
    <n v="2010"/>
    <n v="4139351"/>
    <x v="257"/>
    <x v="3"/>
    <x v="1"/>
    <s v="Cash"/>
    <n v="341"/>
    <n v="231061.05"/>
    <n v="3562684"/>
    <n v="66396.853448275855"/>
    <n v="116"/>
    <n v="4139350.1393133849"/>
    <n v="2025"/>
    <x v="95"/>
  </r>
  <r>
    <x v="258"/>
    <x v="251"/>
    <x v="1"/>
    <x v="1"/>
    <n v="1"/>
    <n v="4"/>
    <n v="174"/>
    <n v="56"/>
    <n v="2012"/>
    <n v="13353102"/>
    <x v="258"/>
    <x v="0"/>
    <x v="0"/>
    <s v="Bank Loan"/>
    <n v="136"/>
    <n v="286090.34999999998"/>
    <n v="-3816757"/>
    <n v="170291.875"/>
    <n v="56"/>
    <n v="13353102.285832984"/>
    <n v="2020"/>
    <x v="51"/>
  </r>
  <r>
    <x v="259"/>
    <x v="252"/>
    <x v="1"/>
    <x v="2"/>
    <n v="1"/>
    <n v="2"/>
    <n v="198"/>
    <n v="110"/>
    <n v="2022"/>
    <n v="9001881"/>
    <x v="259"/>
    <x v="0"/>
    <x v="3"/>
    <s v="Installment"/>
    <n v="304"/>
    <n v="113292.18"/>
    <n v="-5225475"/>
    <n v="34330.963636363638"/>
    <n v="110"/>
    <n v="9001881.580487011"/>
    <n v="2020"/>
    <x v="96"/>
  </r>
  <r>
    <x v="260"/>
    <x v="253"/>
    <x v="2"/>
    <x v="0"/>
    <n v="4"/>
    <n v="2"/>
    <n v="129"/>
    <n v="145"/>
    <n v="2016"/>
    <n v="11504365"/>
    <x v="260"/>
    <x v="6"/>
    <x v="0"/>
    <s v="Cash"/>
    <n v="206"/>
    <n v="365375.27999999997"/>
    <n v="674811"/>
    <n v="83994.317241379307"/>
    <n v="145"/>
    <n v="11504364.941343047"/>
    <n v="2021"/>
    <x v="53"/>
  </r>
  <r>
    <x v="261"/>
    <x v="254"/>
    <x v="3"/>
    <x v="2"/>
    <n v="2"/>
    <n v="1"/>
    <n v="104"/>
    <n v="174"/>
    <n v="2017"/>
    <n v="7725912"/>
    <x v="261"/>
    <x v="5"/>
    <x v="3"/>
    <s v="Cash"/>
    <n v="134"/>
    <n v="210254.28"/>
    <n v="-717436"/>
    <n v="67389.192307692312"/>
    <n v="104"/>
    <n v="7725912.0928610107"/>
    <n v="2024"/>
    <x v="41"/>
  </r>
  <r>
    <x v="262"/>
    <x v="255"/>
    <x v="0"/>
    <x v="1"/>
    <n v="1"/>
    <n v="4"/>
    <n v="141"/>
    <n v="140"/>
    <n v="2017"/>
    <n v="9204923"/>
    <x v="262"/>
    <x v="0"/>
    <x v="0"/>
    <s v="Cash"/>
    <n v="157"/>
    <n v="245732.58"/>
    <n v="-1013837"/>
    <n v="58507.757142857146"/>
    <n v="140"/>
    <n v="9204923.1101407371"/>
    <n v="2018"/>
    <x v="36"/>
  </r>
  <r>
    <x v="263"/>
    <x v="256"/>
    <x v="0"/>
    <x v="3"/>
    <n v="4"/>
    <n v="2"/>
    <n v="172"/>
    <n v="112"/>
    <n v="2016"/>
    <n v="3954605"/>
    <x v="263"/>
    <x v="2"/>
    <x v="0"/>
    <s v="Pag-IBIG Loan"/>
    <n v="206"/>
    <n v="165606.87"/>
    <n v="1565624"/>
    <n v="49287.758928571428"/>
    <n v="112"/>
    <n v="3954604.6041010418"/>
    <n v="2020"/>
    <x v="48"/>
  </r>
  <r>
    <x v="264"/>
    <x v="257"/>
    <x v="2"/>
    <x v="0"/>
    <n v="4"/>
    <n v="4"/>
    <n v="191"/>
    <n v="106"/>
    <n v="2022"/>
    <n v="7240428"/>
    <x v="264"/>
    <x v="7"/>
    <x v="3"/>
    <s v="Installment"/>
    <n v="365"/>
    <n v="363107.33999999997"/>
    <n v="4863150"/>
    <n v="114184.69811320755"/>
    <n v="106"/>
    <n v="7240427.328333905"/>
    <n v="2021"/>
    <x v="19"/>
  </r>
  <r>
    <x v="265"/>
    <x v="258"/>
    <x v="3"/>
    <x v="1"/>
    <n v="4"/>
    <n v="4"/>
    <n v="153"/>
    <n v="232"/>
    <n v="2014"/>
    <n v="14125014"/>
    <x v="265"/>
    <x v="2"/>
    <x v="1"/>
    <s v="Cash"/>
    <n v="282"/>
    <n v="122477.31"/>
    <n v="-10042437"/>
    <n v="26683.50980392157"/>
    <n v="153"/>
    <n v="14125014.710968286"/>
    <n v="2025"/>
    <x v="39"/>
  </r>
  <r>
    <x v="266"/>
    <x v="259"/>
    <x v="0"/>
    <x v="2"/>
    <n v="4"/>
    <n v="3"/>
    <n v="113"/>
    <n v="137"/>
    <n v="2012"/>
    <n v="4712216"/>
    <x v="266"/>
    <x v="5"/>
    <x v="2"/>
    <s v="Cash"/>
    <n v="343"/>
    <n v="355564.47"/>
    <n v="7139933"/>
    <n v="86512.036496350367"/>
    <n v="137"/>
    <n v="4712214.4848035406"/>
    <n v="2022"/>
    <x v="13"/>
  </r>
  <r>
    <x v="267"/>
    <x v="8"/>
    <x v="2"/>
    <x v="0"/>
    <n v="4"/>
    <n v="2"/>
    <n v="148"/>
    <n v="237"/>
    <n v="2015"/>
    <n v="3840788"/>
    <x v="267"/>
    <x v="6"/>
    <x v="0"/>
    <s v="Bank Loan"/>
    <n v="400"/>
    <n v="269552.64000000001"/>
    <n v="5144300"/>
    <n v="37911.763713080167"/>
    <n v="237"/>
    <n v="3840786.6606133948"/>
    <n v="2020"/>
    <x v="8"/>
  </r>
  <r>
    <x v="268"/>
    <x v="260"/>
    <x v="2"/>
    <x v="0"/>
    <n v="3"/>
    <n v="2"/>
    <n v="160"/>
    <n v="202"/>
    <n v="2018"/>
    <n v="5605560"/>
    <x v="268"/>
    <x v="7"/>
    <x v="1"/>
    <s v="Bank Loan"/>
    <n v="181"/>
    <n v="337572.18"/>
    <n v="5646846"/>
    <n v="55704.980198019803"/>
    <n v="202"/>
    <n v="5605558.9926348124"/>
    <n v="2019"/>
    <x v="85"/>
  </r>
  <r>
    <x v="269"/>
    <x v="261"/>
    <x v="2"/>
    <x v="2"/>
    <n v="2"/>
    <n v="2"/>
    <n v="82"/>
    <n v="228"/>
    <n v="2012"/>
    <n v="6327776"/>
    <x v="269"/>
    <x v="7"/>
    <x v="1"/>
    <s v="Pag-IBIG Loan"/>
    <n v="213"/>
    <n v="342658.58999999997"/>
    <n v="5094177"/>
    <n v="50096.285087719298"/>
    <n v="228"/>
    <n v="6327775.1949498532"/>
    <n v="2024"/>
    <x v="73"/>
  </r>
  <r>
    <x v="270"/>
    <x v="262"/>
    <x v="0"/>
    <x v="2"/>
    <n v="3"/>
    <n v="1"/>
    <n v="100"/>
    <n v="155"/>
    <n v="2022"/>
    <n v="9703913"/>
    <x v="270"/>
    <x v="2"/>
    <x v="2"/>
    <s v="Pag-IBIG Loan"/>
    <n v="140"/>
    <n v="320642.21999999997"/>
    <n v="984161"/>
    <n v="68955.316129032261"/>
    <n v="155"/>
    <n v="9703912.8985810149"/>
    <n v="2018"/>
    <x v="11"/>
  </r>
  <r>
    <x v="271"/>
    <x v="263"/>
    <x v="0"/>
    <x v="0"/>
    <n v="2"/>
    <n v="3"/>
    <n v="154"/>
    <n v="65"/>
    <n v="2021"/>
    <n v="10509951"/>
    <x v="271"/>
    <x v="0"/>
    <x v="1"/>
    <s v="Installment"/>
    <n v="277"/>
    <n v="381732.93"/>
    <n v="2214480"/>
    <n v="195760.47692307693"/>
    <n v="65"/>
    <n v="10509950.78929683"/>
    <n v="2022"/>
    <x v="13"/>
  </r>
  <r>
    <x v="272"/>
    <x v="264"/>
    <x v="1"/>
    <x v="3"/>
    <n v="2"/>
    <n v="4"/>
    <n v="65"/>
    <n v="55"/>
    <n v="2016"/>
    <n v="12275660"/>
    <x v="272"/>
    <x v="0"/>
    <x v="1"/>
    <s v="Bank Loan"/>
    <n v="269"/>
    <n v="290340.26999999996"/>
    <n v="-2597651"/>
    <n v="175963.8"/>
    <n v="55"/>
    <n v="12275660.211609885"/>
    <n v="2021"/>
    <x v="9"/>
  </r>
  <r>
    <x v="273"/>
    <x v="265"/>
    <x v="3"/>
    <x v="2"/>
    <n v="1"/>
    <n v="2"/>
    <n v="57"/>
    <n v="78"/>
    <n v="2021"/>
    <n v="3469357"/>
    <x v="273"/>
    <x v="5"/>
    <x v="1"/>
    <s v="Pag-IBIG Loan"/>
    <n v="176"/>
    <n v="302322.83999999997"/>
    <n v="6608071"/>
    <n v="176796.98245614034"/>
    <n v="57"/>
    <n v="3469355.095303827"/>
    <n v="2020"/>
    <x v="48"/>
  </r>
  <r>
    <x v="274"/>
    <x v="266"/>
    <x v="3"/>
    <x v="3"/>
    <n v="1"/>
    <n v="3"/>
    <n v="195"/>
    <n v="180"/>
    <n v="2013"/>
    <n v="11200764"/>
    <x v="274"/>
    <x v="6"/>
    <x v="1"/>
    <s v="Installment"/>
    <n v="305"/>
    <n v="228903.27"/>
    <n v="-3570655"/>
    <n v="39128.764102564106"/>
    <n v="195"/>
    <n v="11200764.318786737"/>
    <n v="2019"/>
    <x v="57"/>
  </r>
  <r>
    <x v="275"/>
    <x v="267"/>
    <x v="2"/>
    <x v="2"/>
    <n v="3"/>
    <n v="2"/>
    <n v="192"/>
    <n v="54"/>
    <n v="2017"/>
    <n v="14052102"/>
    <x v="275"/>
    <x v="8"/>
    <x v="2"/>
    <s v="Cash"/>
    <n v="270"/>
    <n v="317652.75"/>
    <n v="-3463677"/>
    <n v="196081.94444444444"/>
    <n v="54"/>
    <n v="14052102.246488176"/>
    <n v="2021"/>
    <x v="54"/>
  </r>
  <r>
    <x v="276"/>
    <x v="268"/>
    <x v="0"/>
    <x v="0"/>
    <n v="4"/>
    <n v="1"/>
    <n v="94"/>
    <n v="52"/>
    <n v="2016"/>
    <n v="9917991"/>
    <x v="276"/>
    <x v="8"/>
    <x v="0"/>
    <s v="Pag-IBIG Loan"/>
    <n v="135"/>
    <n v="257410.83"/>
    <n v="-1337630"/>
    <n v="165006.94230769231"/>
    <n v="52"/>
    <n v="9917991.1348690484"/>
    <n v="2019"/>
    <x v="47"/>
  </r>
  <r>
    <x v="277"/>
    <x v="187"/>
    <x v="2"/>
    <x v="1"/>
    <n v="2"/>
    <n v="2"/>
    <n v="111"/>
    <n v="211"/>
    <n v="2012"/>
    <n v="7389943"/>
    <x v="277"/>
    <x v="0"/>
    <x v="0"/>
    <s v="Cash"/>
    <n v="282"/>
    <n v="46725.93"/>
    <n v="-5832412"/>
    <n v="7381.663507109005"/>
    <n v="211"/>
    <n v="7389943.7892363984"/>
    <n v="2024"/>
    <x v="12"/>
  </r>
  <r>
    <x v="278"/>
    <x v="269"/>
    <x v="0"/>
    <x v="1"/>
    <n v="2"/>
    <n v="3"/>
    <n v="76"/>
    <n v="200"/>
    <n v="2013"/>
    <n v="9254848"/>
    <x v="278"/>
    <x v="2"/>
    <x v="2"/>
    <s v="Cash"/>
    <n v="159"/>
    <n v="373620.02999999997"/>
    <n v="3199153"/>
    <n v="62270.004999999997"/>
    <n v="200"/>
    <n v="9254847.6543267909"/>
    <n v="2019"/>
    <x v="47"/>
  </r>
  <r>
    <x v="279"/>
    <x v="270"/>
    <x v="3"/>
    <x v="0"/>
    <n v="4"/>
    <n v="2"/>
    <n v="69"/>
    <n v="210"/>
    <n v="2011"/>
    <n v="14270338"/>
    <x v="279"/>
    <x v="6"/>
    <x v="0"/>
    <s v="Installment"/>
    <n v="307"/>
    <n v="270744.42"/>
    <n v="-5245524"/>
    <n v="130794.40579710146"/>
    <n v="69"/>
    <n v="14270338.367582323"/>
    <n v="2024"/>
    <x v="1"/>
  </r>
  <r>
    <x v="280"/>
    <x v="271"/>
    <x v="3"/>
    <x v="3"/>
    <n v="2"/>
    <n v="4"/>
    <n v="194"/>
    <n v="222"/>
    <n v="2012"/>
    <n v="8061352"/>
    <x v="280"/>
    <x v="5"/>
    <x v="3"/>
    <s v="Cash"/>
    <n v="347"/>
    <n v="191003.19"/>
    <n v="-1694579"/>
    <n v="32818.417525773199"/>
    <n v="194"/>
    <n v="8061352.2102102721"/>
    <n v="2026"/>
    <x v="22"/>
  </r>
  <r>
    <x v="281"/>
    <x v="272"/>
    <x v="1"/>
    <x v="2"/>
    <n v="1"/>
    <n v="3"/>
    <n v="167"/>
    <n v="127"/>
    <n v="2020"/>
    <n v="8745012"/>
    <x v="281"/>
    <x v="3"/>
    <x v="1"/>
    <s v="Bank Loan"/>
    <n v="173"/>
    <n v="313776.87"/>
    <n v="1714217"/>
    <n v="82356.133858267713"/>
    <n v="127"/>
    <n v="8745011.8039777409"/>
    <n v="2019"/>
    <x v="85"/>
  </r>
  <r>
    <x v="282"/>
    <x v="273"/>
    <x v="0"/>
    <x v="3"/>
    <n v="4"/>
    <n v="4"/>
    <n v="195"/>
    <n v="138"/>
    <n v="2023"/>
    <n v="2254643"/>
    <x v="282"/>
    <x v="8"/>
    <x v="2"/>
    <s v="Cash"/>
    <n v="361"/>
    <n v="225627.66"/>
    <n v="5266279"/>
    <n v="54499.434782608696"/>
    <n v="138"/>
    <n v="2254640.6642515021"/>
    <n v="2021"/>
    <x v="54"/>
  </r>
  <r>
    <x v="283"/>
    <x v="274"/>
    <x v="3"/>
    <x v="2"/>
    <n v="2"/>
    <n v="4"/>
    <n v="64"/>
    <n v="200"/>
    <n v="2014"/>
    <n v="8465642"/>
    <x v="283"/>
    <x v="8"/>
    <x v="2"/>
    <s v="Bank Loan"/>
    <n v="152"/>
    <n v="141969.63"/>
    <n v="-3733321"/>
    <n v="73942.515625"/>
    <n v="64"/>
    <n v="8465642.4409967959"/>
    <n v="2023"/>
    <x v="97"/>
  </r>
  <r>
    <x v="284"/>
    <x v="275"/>
    <x v="0"/>
    <x v="1"/>
    <n v="4"/>
    <n v="2"/>
    <n v="109"/>
    <n v="208"/>
    <n v="2020"/>
    <n v="7534617"/>
    <x v="284"/>
    <x v="4"/>
    <x v="1"/>
    <s v="Cash"/>
    <n v="259"/>
    <n v="103830.65999999999"/>
    <n v="-4073595"/>
    <n v="16639.528846153848"/>
    <n v="208"/>
    <n v="7534617.5406505736"/>
    <n v="2025"/>
    <x v="42"/>
  </r>
  <r>
    <x v="285"/>
    <x v="276"/>
    <x v="0"/>
    <x v="0"/>
    <n v="3"/>
    <n v="4"/>
    <n v="163"/>
    <n v="166"/>
    <n v="2011"/>
    <n v="6087531"/>
    <x v="285"/>
    <x v="1"/>
    <x v="3"/>
    <s v="Installment"/>
    <n v="215"/>
    <n v="243117.81"/>
    <n v="2016396"/>
    <n v="48818.837349397589"/>
    <n v="166"/>
    <n v="6087530.6687662043"/>
    <n v="2022"/>
    <x v="5"/>
  </r>
  <r>
    <x v="286"/>
    <x v="277"/>
    <x v="2"/>
    <x v="3"/>
    <n v="2"/>
    <n v="2"/>
    <n v="169"/>
    <n v="235"/>
    <n v="2013"/>
    <n v="2866045"/>
    <x v="286"/>
    <x v="0"/>
    <x v="0"/>
    <s v="Pag-IBIG Loan"/>
    <n v="216"/>
    <n v="55084.439999999995"/>
    <n v="-1029897"/>
    <n v="7813.3957446808508"/>
    <n v="235"/>
    <n v="2866045.3593443227"/>
    <n v="2022"/>
    <x v="32"/>
  </r>
  <r>
    <x v="287"/>
    <x v="278"/>
    <x v="2"/>
    <x v="0"/>
    <n v="2"/>
    <n v="2"/>
    <n v="136"/>
    <n v="171"/>
    <n v="2015"/>
    <n v="7010532"/>
    <x v="287"/>
    <x v="2"/>
    <x v="2"/>
    <s v="Bank Loan"/>
    <n v="128"/>
    <n v="203328"/>
    <n v="-232932"/>
    <n v="39635.087719298244"/>
    <n v="171"/>
    <n v="7010532.0332260095"/>
    <n v="2019"/>
    <x v="57"/>
  </r>
  <r>
    <x v="288"/>
    <x v="279"/>
    <x v="0"/>
    <x v="1"/>
    <n v="2"/>
    <n v="3"/>
    <n v="117"/>
    <n v="238"/>
    <n v="2010"/>
    <n v="4631947"/>
    <x v="288"/>
    <x v="6"/>
    <x v="1"/>
    <s v="Installment"/>
    <n v="324"/>
    <n v="142277.54999999999"/>
    <n v="110638"/>
    <n v="19926.827731092439"/>
    <n v="238"/>
    <n v="4631946.9761141483"/>
    <n v="2018"/>
    <x v="74"/>
  </r>
  <r>
    <x v="289"/>
    <x v="280"/>
    <x v="3"/>
    <x v="2"/>
    <n v="1"/>
    <n v="4"/>
    <n v="108"/>
    <n v="94"/>
    <n v="2015"/>
    <n v="6719542"/>
    <x v="289"/>
    <x v="1"/>
    <x v="1"/>
    <s v="Bank Loan"/>
    <n v="258"/>
    <n v="176492.72999999998"/>
    <n v="-836451"/>
    <n v="54473.064814814818"/>
    <n v="108"/>
    <n v="6719542.1244803593"/>
    <n v="2019"/>
    <x v="45"/>
  </r>
  <r>
    <x v="290"/>
    <x v="281"/>
    <x v="1"/>
    <x v="2"/>
    <n v="1"/>
    <n v="2"/>
    <n v="85"/>
    <n v="129"/>
    <n v="2014"/>
    <n v="12545389"/>
    <x v="290"/>
    <x v="8"/>
    <x v="3"/>
    <s v="Installment"/>
    <n v="107"/>
    <n v="120277.2"/>
    <n v="-8536149"/>
    <n v="31079.37984496124"/>
    <n v="129"/>
    <n v="12545389.680421229"/>
    <n v="2025"/>
    <x v="98"/>
  </r>
  <r>
    <x v="291"/>
    <x v="282"/>
    <x v="2"/>
    <x v="1"/>
    <n v="2"/>
    <n v="2"/>
    <n v="196"/>
    <n v="157"/>
    <n v="2016"/>
    <n v="8861265"/>
    <x v="291"/>
    <x v="7"/>
    <x v="2"/>
    <s v="Bank Loan"/>
    <n v="121"/>
    <n v="188413.41"/>
    <n v="-2580818"/>
    <n v="40002.847133757961"/>
    <n v="157"/>
    <n v="8861265.2912471294"/>
    <n v="2022"/>
    <x v="5"/>
  </r>
  <r>
    <x v="292"/>
    <x v="283"/>
    <x v="0"/>
    <x v="1"/>
    <n v="3"/>
    <n v="1"/>
    <n v="148"/>
    <n v="86"/>
    <n v="2012"/>
    <n v="7047367"/>
    <x v="292"/>
    <x v="3"/>
    <x v="1"/>
    <s v="Cash"/>
    <n v="388"/>
    <n v="308022.89999999997"/>
    <n v="3220063"/>
    <n v="119388.72093023256"/>
    <n v="86"/>
    <n v="7047366.5430828277"/>
    <n v="2019"/>
    <x v="85"/>
  </r>
  <r>
    <x v="293"/>
    <x v="284"/>
    <x v="2"/>
    <x v="1"/>
    <n v="1"/>
    <n v="2"/>
    <n v="80"/>
    <n v="212"/>
    <n v="2013"/>
    <n v="4063320"/>
    <x v="293"/>
    <x v="2"/>
    <x v="1"/>
    <s v="Pag-IBIG Loan"/>
    <n v="216"/>
    <n v="102575.28"/>
    <n v="-644144"/>
    <n v="16128.188679245282"/>
    <n v="212"/>
    <n v="4063320.1585265249"/>
    <n v="2020"/>
    <x v="60"/>
  </r>
  <r>
    <x v="294"/>
    <x v="285"/>
    <x v="0"/>
    <x v="1"/>
    <n v="2"/>
    <n v="3"/>
    <n v="70"/>
    <n v="159"/>
    <n v="2019"/>
    <n v="11162298"/>
    <x v="294"/>
    <x v="5"/>
    <x v="0"/>
    <s v="Cash"/>
    <n v="300"/>
    <n v="293284.70999999996"/>
    <n v="-1386141"/>
    <n v="61485.264150943396"/>
    <n v="159"/>
    <n v="11162298.124180613"/>
    <n v="2026"/>
    <x v="37"/>
  </r>
  <r>
    <x v="295"/>
    <x v="286"/>
    <x v="1"/>
    <x v="0"/>
    <n v="3"/>
    <n v="2"/>
    <n v="86"/>
    <n v="90"/>
    <n v="2023"/>
    <n v="12086276"/>
    <x v="295"/>
    <x v="2"/>
    <x v="2"/>
    <s v="Pag-IBIG Loan"/>
    <n v="330"/>
    <n v="367018.58999999997"/>
    <n v="147677"/>
    <n v="135932.81111111111"/>
    <n v="90"/>
    <n v="12086275.987781432"/>
    <n v="2019"/>
    <x v="18"/>
  </r>
  <r>
    <x v="296"/>
    <x v="287"/>
    <x v="3"/>
    <x v="0"/>
    <n v="4"/>
    <n v="1"/>
    <n v="129"/>
    <n v="220"/>
    <n v="2022"/>
    <n v="11139559"/>
    <x v="296"/>
    <x v="2"/>
    <x v="1"/>
    <s v="Cash"/>
    <n v="126"/>
    <n v="263725.40999999997"/>
    <n v="-2348712"/>
    <n v="68146.100775193801"/>
    <n v="129"/>
    <n v="11139559.210844254"/>
    <n v="2021"/>
    <x v="84"/>
  </r>
  <r>
    <x v="297"/>
    <x v="288"/>
    <x v="1"/>
    <x v="0"/>
    <n v="2"/>
    <n v="2"/>
    <n v="136"/>
    <n v="226"/>
    <n v="2018"/>
    <n v="13691325"/>
    <x v="297"/>
    <x v="0"/>
    <x v="0"/>
    <s v="Installment"/>
    <n v="359"/>
    <n v="339516.42"/>
    <n v="-2374111"/>
    <n v="50076.16814159292"/>
    <n v="226"/>
    <n v="13691325.173402574"/>
    <n v="2018"/>
    <x v="30"/>
  </r>
  <r>
    <x v="298"/>
    <x v="289"/>
    <x v="1"/>
    <x v="3"/>
    <n v="4"/>
    <n v="2"/>
    <n v="123"/>
    <n v="219"/>
    <n v="2014"/>
    <n v="13407010"/>
    <x v="298"/>
    <x v="5"/>
    <x v="2"/>
    <s v="Bank Loan"/>
    <n v="350"/>
    <n v="93323.79"/>
    <n v="-10296217"/>
    <n v="14204.534246575342"/>
    <n v="219"/>
    <n v="13407010.76797265"/>
    <n v="2020"/>
    <x v="10"/>
  </r>
  <r>
    <x v="299"/>
    <x v="290"/>
    <x v="0"/>
    <x v="1"/>
    <n v="3"/>
    <n v="1"/>
    <n v="49"/>
    <n v="156"/>
    <n v="2016"/>
    <n v="4296830"/>
    <x v="299"/>
    <x v="5"/>
    <x v="1"/>
    <s v="Bank Loan"/>
    <n v="359"/>
    <n v="311104.11"/>
    <n v="6073307"/>
    <n v="66475.237179487172"/>
    <n v="156"/>
    <n v="4296828.5865610233"/>
    <n v="2020"/>
    <x v="10"/>
  </r>
  <r>
    <x v="300"/>
    <x v="291"/>
    <x v="3"/>
    <x v="0"/>
    <n v="4"/>
    <n v="1"/>
    <n v="139"/>
    <n v="196"/>
    <n v="2019"/>
    <n v="9065578"/>
    <x v="300"/>
    <x v="3"/>
    <x v="3"/>
    <s v="Pag-IBIG Loan"/>
    <n v="282"/>
    <n v="131406.38999999998"/>
    <n v="-4685365"/>
    <n v="31512.323741007192"/>
    <n v="139"/>
    <n v="9065578.5168302562"/>
    <n v="2019"/>
    <x v="80"/>
  </r>
  <r>
    <x v="301"/>
    <x v="292"/>
    <x v="2"/>
    <x v="0"/>
    <n v="1"/>
    <n v="2"/>
    <n v="67"/>
    <n v="243"/>
    <n v="2013"/>
    <n v="12802183"/>
    <x v="301"/>
    <x v="3"/>
    <x v="0"/>
    <s v="Bank Loan"/>
    <n v="156"/>
    <n v="240597.69"/>
    <n v="-4782260"/>
    <n v="33003.798353909464"/>
    <n v="243"/>
    <n v="12802183.373550355"/>
    <n v="2021"/>
    <x v="9"/>
  </r>
  <r>
    <x v="302"/>
    <x v="235"/>
    <x v="0"/>
    <x v="3"/>
    <n v="1"/>
    <n v="4"/>
    <n v="170"/>
    <n v="247"/>
    <n v="2022"/>
    <n v="8460688"/>
    <x v="302"/>
    <x v="1"/>
    <x v="1"/>
    <s v="Bank Loan"/>
    <n v="159"/>
    <n v="135065.28"/>
    <n v="-3958512"/>
    <n v="18227.433198380568"/>
    <n v="247"/>
    <n v="8460688.4678711705"/>
    <n v="2023"/>
    <x v="64"/>
  </r>
  <r>
    <x v="303"/>
    <x v="293"/>
    <x v="2"/>
    <x v="3"/>
    <n v="3"/>
    <n v="4"/>
    <n v="197"/>
    <n v="249"/>
    <n v="2021"/>
    <n v="6249318"/>
    <x v="303"/>
    <x v="3"/>
    <x v="0"/>
    <s v="Installment"/>
    <n v="160"/>
    <n v="375162.36"/>
    <n v="6256094"/>
    <n v="50222.538152610439"/>
    <n v="249"/>
    <n v="6249316.9989157217"/>
    <n v="2024"/>
    <x v="73"/>
  </r>
  <r>
    <x v="304"/>
    <x v="294"/>
    <x v="0"/>
    <x v="2"/>
    <n v="1"/>
    <n v="3"/>
    <n v="144"/>
    <n v="191"/>
    <n v="2022"/>
    <n v="3795542"/>
    <x v="304"/>
    <x v="8"/>
    <x v="2"/>
    <s v="Cash"/>
    <n v="204"/>
    <n v="207790.86"/>
    <n v="3130820"/>
    <n v="36263.675392670157"/>
    <n v="191"/>
    <n v="3795541.1751322998"/>
    <n v="2024"/>
    <x v="76"/>
  </r>
  <r>
    <x v="305"/>
    <x v="295"/>
    <x v="1"/>
    <x v="1"/>
    <n v="4"/>
    <n v="4"/>
    <n v="99"/>
    <n v="61"/>
    <n v="2018"/>
    <n v="10541812"/>
    <x v="305"/>
    <x v="2"/>
    <x v="0"/>
    <s v="Bank Loan"/>
    <n v="337"/>
    <n v="300050.43"/>
    <n v="-540131"/>
    <n v="163961.98360655739"/>
    <n v="61"/>
    <n v="10541812.051237017"/>
    <n v="2024"/>
    <x v="76"/>
  </r>
  <r>
    <x v="306"/>
    <x v="296"/>
    <x v="2"/>
    <x v="2"/>
    <n v="3"/>
    <n v="3"/>
    <n v="177"/>
    <n v="140"/>
    <n v="2015"/>
    <n v="14520388"/>
    <x v="306"/>
    <x v="0"/>
    <x v="2"/>
    <s v="Pag-IBIG Loan"/>
    <n v="303"/>
    <n v="208790.13"/>
    <n v="-7560717"/>
    <n v="49711.935714285712"/>
    <n v="140"/>
    <n v="14520388.520696623"/>
    <n v="2025"/>
    <x v="58"/>
  </r>
  <r>
    <x v="307"/>
    <x v="297"/>
    <x v="2"/>
    <x v="3"/>
    <n v="3"/>
    <n v="3"/>
    <n v="108"/>
    <n v="59"/>
    <n v="2010"/>
    <n v="6844619"/>
    <x v="307"/>
    <x v="3"/>
    <x v="2"/>
    <s v="Installment"/>
    <n v="211"/>
    <n v="204000.87"/>
    <n v="-44590"/>
    <n v="115254.72881355933"/>
    <n v="59"/>
    <n v="6844619.006514607"/>
    <n v="2023"/>
    <x v="66"/>
  </r>
  <r>
    <x v="308"/>
    <x v="298"/>
    <x v="0"/>
    <x v="1"/>
    <n v="2"/>
    <n v="1"/>
    <n v="73"/>
    <n v="129"/>
    <n v="2016"/>
    <n v="7790832"/>
    <x v="308"/>
    <x v="6"/>
    <x v="0"/>
    <s v="Cash"/>
    <n v="397"/>
    <n v="113292.09"/>
    <n v="-4014429"/>
    <n v="29274.441860465115"/>
    <n v="129"/>
    <n v="7790832.5152760325"/>
    <n v="2019"/>
    <x v="59"/>
  </r>
  <r>
    <x v="309"/>
    <x v="299"/>
    <x v="3"/>
    <x v="3"/>
    <n v="2"/>
    <n v="2"/>
    <n v="188"/>
    <n v="95"/>
    <n v="2015"/>
    <n v="12030794"/>
    <x v="309"/>
    <x v="4"/>
    <x v="0"/>
    <s v="Cash"/>
    <n v="354"/>
    <n v="103066.29"/>
    <n v="-8595251"/>
    <n v="18274.16489361702"/>
    <n v="188"/>
    <n v="12030794.71443755"/>
    <n v="2018"/>
    <x v="67"/>
  </r>
  <r>
    <x v="310"/>
    <x v="300"/>
    <x v="2"/>
    <x v="1"/>
    <n v="1"/>
    <n v="3"/>
    <n v="122"/>
    <n v="52"/>
    <n v="2019"/>
    <n v="10130171"/>
    <x v="310"/>
    <x v="2"/>
    <x v="0"/>
    <s v="Bank Loan"/>
    <n v="123"/>
    <n v="46440.299999999996"/>
    <n v="-8582161"/>
    <n v="29769.423076923078"/>
    <n v="52"/>
    <n v="10130171.847188167"/>
    <n v="2023"/>
    <x v="97"/>
  </r>
  <r>
    <x v="311"/>
    <x v="301"/>
    <x v="2"/>
    <x v="3"/>
    <n v="4"/>
    <n v="2"/>
    <n v="52"/>
    <n v="122"/>
    <n v="2017"/>
    <n v="4338932"/>
    <x v="311"/>
    <x v="2"/>
    <x v="2"/>
    <s v="Cash"/>
    <n v="107"/>
    <n v="178716.24"/>
    <n v="1618276"/>
    <n v="48829.573770491806"/>
    <n v="122"/>
    <n v="4338931.6270335652"/>
    <n v="2020"/>
    <x v="48"/>
  </r>
  <r>
    <x v="312"/>
    <x v="302"/>
    <x v="0"/>
    <x v="3"/>
    <n v="1"/>
    <n v="2"/>
    <n v="99"/>
    <n v="98"/>
    <n v="2021"/>
    <n v="8351259"/>
    <x v="312"/>
    <x v="4"/>
    <x v="3"/>
    <s v="Pag-IBIG Loan"/>
    <n v="139"/>
    <n v="311435.88"/>
    <n v="2029937"/>
    <n v="105930.57142857143"/>
    <n v="98"/>
    <n v="8351258.756930422"/>
    <n v="2026"/>
    <x v="52"/>
  </r>
  <r>
    <x v="313"/>
    <x v="303"/>
    <x v="3"/>
    <x v="2"/>
    <n v="1"/>
    <n v="4"/>
    <n v="84"/>
    <n v="82"/>
    <n v="2018"/>
    <n v="14439122"/>
    <x v="313"/>
    <x v="5"/>
    <x v="2"/>
    <s v="Cash"/>
    <n v="254"/>
    <n v="94778.61"/>
    <n v="-11279835"/>
    <n v="37610.559523809527"/>
    <n v="84"/>
    <n v="14439122.781199507"/>
    <n v="2023"/>
    <x v="49"/>
  </r>
  <r>
    <x v="314"/>
    <x v="304"/>
    <x v="3"/>
    <x v="0"/>
    <n v="1"/>
    <n v="2"/>
    <n v="145"/>
    <n v="52"/>
    <n v="2018"/>
    <n v="5704814"/>
    <x v="314"/>
    <x v="6"/>
    <x v="2"/>
    <s v="Pag-IBIG Loan"/>
    <n v="235"/>
    <n v="256861.28999999998"/>
    <n v="2857229"/>
    <n v="59048.572413793103"/>
    <n v="145"/>
    <n v="5704813.4991547493"/>
    <n v="2022"/>
    <x v="90"/>
  </r>
  <r>
    <x v="315"/>
    <x v="305"/>
    <x v="1"/>
    <x v="2"/>
    <n v="2"/>
    <n v="2"/>
    <n v="160"/>
    <n v="227"/>
    <n v="2015"/>
    <n v="2490264"/>
    <x v="315"/>
    <x v="4"/>
    <x v="1"/>
    <s v="Installment"/>
    <n v="260"/>
    <n v="240299.46"/>
    <n v="5519718"/>
    <n v="35286.264317180619"/>
    <n v="227"/>
    <n v="2490261.7834807876"/>
    <n v="2026"/>
    <x v="52"/>
  </r>
  <r>
    <x v="316"/>
    <x v="306"/>
    <x v="3"/>
    <x v="1"/>
    <n v="4"/>
    <n v="4"/>
    <n v="177"/>
    <n v="234"/>
    <n v="2013"/>
    <n v="10436363"/>
    <x v="316"/>
    <x v="6"/>
    <x v="3"/>
    <s v="Pag-IBIG Loan"/>
    <n v="358"/>
    <n v="296809.05"/>
    <n v="-542728"/>
    <n v="55896.242937853109"/>
    <n v="177"/>
    <n v="10436363.052003557"/>
    <n v="2021"/>
    <x v="19"/>
  </r>
  <r>
    <x v="317"/>
    <x v="307"/>
    <x v="0"/>
    <x v="0"/>
    <n v="2"/>
    <n v="1"/>
    <n v="84"/>
    <n v="122"/>
    <n v="2014"/>
    <n v="9940367"/>
    <x v="317"/>
    <x v="0"/>
    <x v="0"/>
    <s v="Installment"/>
    <n v="229"/>
    <n v="123168.59999999999"/>
    <n v="-5834747"/>
    <n v="33652.62295081967"/>
    <n v="122"/>
    <n v="9940367.5869750082"/>
    <n v="2023"/>
    <x v="66"/>
  </r>
  <r>
    <x v="318"/>
    <x v="308"/>
    <x v="2"/>
    <x v="0"/>
    <n v="3"/>
    <n v="2"/>
    <n v="129"/>
    <n v="119"/>
    <n v="2022"/>
    <n v="5326766"/>
    <x v="318"/>
    <x v="6"/>
    <x v="3"/>
    <s v="Installment"/>
    <n v="130"/>
    <n v="340911.93"/>
    <n v="6036965"/>
    <n v="95493.537815126052"/>
    <n v="119"/>
    <n v="5326764.8666735124"/>
    <n v="2021"/>
    <x v="88"/>
  </r>
  <r>
    <x v="319"/>
    <x v="309"/>
    <x v="3"/>
    <x v="1"/>
    <n v="3"/>
    <n v="4"/>
    <n v="190"/>
    <n v="79"/>
    <n v="2014"/>
    <n v="2993084"/>
    <x v="319"/>
    <x v="3"/>
    <x v="1"/>
    <s v="Cash"/>
    <n v="182"/>
    <n v="389905.07999999996"/>
    <n v="10003752"/>
    <n v="68404.399999999994"/>
    <n v="190"/>
    <n v="2993080.6577109094"/>
    <n v="2018"/>
    <x v="56"/>
  </r>
  <r>
    <x v="320"/>
    <x v="310"/>
    <x v="2"/>
    <x v="2"/>
    <n v="2"/>
    <n v="2"/>
    <n v="198"/>
    <n v="140"/>
    <n v="2015"/>
    <n v="4874012"/>
    <x v="320"/>
    <x v="7"/>
    <x v="3"/>
    <s v="Installment"/>
    <n v="157"/>
    <n v="218205.21"/>
    <n v="2399495"/>
    <n v="51953.62142857143"/>
    <n v="140"/>
    <n v="4874011.5076961238"/>
    <n v="2022"/>
    <x v="55"/>
  </r>
  <r>
    <x v="321"/>
    <x v="311"/>
    <x v="3"/>
    <x v="1"/>
    <n v="3"/>
    <n v="3"/>
    <n v="147"/>
    <n v="200"/>
    <n v="2022"/>
    <n v="8592225"/>
    <x v="321"/>
    <x v="7"/>
    <x v="3"/>
    <s v="Cash"/>
    <n v="172"/>
    <n v="380488.14"/>
    <n v="4090713"/>
    <n v="86278.489795918373"/>
    <n v="147"/>
    <n v="8592224.5239052754"/>
    <n v="2021"/>
    <x v="88"/>
  </r>
  <r>
    <x v="322"/>
    <x v="312"/>
    <x v="3"/>
    <x v="2"/>
    <n v="4"/>
    <n v="3"/>
    <n v="47"/>
    <n v="124"/>
    <n v="2021"/>
    <n v="7784788"/>
    <x v="322"/>
    <x v="4"/>
    <x v="0"/>
    <s v="Bank Loan"/>
    <n v="397"/>
    <n v="254432.09999999998"/>
    <n v="696282"/>
    <n v="180448.29787234042"/>
    <n v="47"/>
    <n v="7784787.9105586438"/>
    <n v="2020"/>
    <x v="96"/>
  </r>
  <r>
    <x v="323"/>
    <x v="313"/>
    <x v="1"/>
    <x v="3"/>
    <n v="1"/>
    <n v="3"/>
    <n v="160"/>
    <n v="173"/>
    <n v="2010"/>
    <n v="4023023"/>
    <x v="323"/>
    <x v="5"/>
    <x v="2"/>
    <s v="Installment"/>
    <n v="215"/>
    <n v="58271.729999999996"/>
    <n v="-2080632"/>
    <n v="11227.693641618496"/>
    <n v="173"/>
    <n v="4023023.517181234"/>
    <n v="2021"/>
    <x v="94"/>
  </r>
  <r>
    <x v="324"/>
    <x v="314"/>
    <x v="0"/>
    <x v="0"/>
    <n v="2"/>
    <n v="2"/>
    <n v="80"/>
    <n v="177"/>
    <n v="2017"/>
    <n v="10201338"/>
    <x v="324"/>
    <x v="8"/>
    <x v="2"/>
    <s v="Cash"/>
    <n v="198"/>
    <n v="232102.35"/>
    <n v="-2464593"/>
    <n v="43710.423728813563"/>
    <n v="177"/>
    <n v="10201338.241595073"/>
    <n v="2025"/>
    <x v="65"/>
  </r>
  <r>
    <x v="325"/>
    <x v="315"/>
    <x v="1"/>
    <x v="2"/>
    <n v="1"/>
    <n v="3"/>
    <n v="91"/>
    <n v="172"/>
    <n v="2012"/>
    <n v="9291027"/>
    <x v="325"/>
    <x v="5"/>
    <x v="0"/>
    <s v="Cash"/>
    <n v="330"/>
    <n v="64081.47"/>
    <n v="-7154978"/>
    <n v="12418.889534883721"/>
    <n v="172"/>
    <n v="9291027.7700954918"/>
    <n v="2021"/>
    <x v="70"/>
  </r>
  <r>
    <x v="326"/>
    <x v="264"/>
    <x v="1"/>
    <x v="2"/>
    <n v="1"/>
    <n v="3"/>
    <n v="90"/>
    <n v="105"/>
    <n v="2023"/>
    <n v="13346213"/>
    <x v="326"/>
    <x v="1"/>
    <x v="3"/>
    <s v="Installment"/>
    <n v="373"/>
    <n v="251884.31999999998"/>
    <n v="-4950069"/>
    <n v="79963.276190476186"/>
    <n v="105"/>
    <n v="13346213.370896898"/>
    <n v="2021"/>
    <x v="9"/>
  </r>
  <r>
    <x v="327"/>
    <x v="316"/>
    <x v="3"/>
    <x v="1"/>
    <n v="4"/>
    <n v="3"/>
    <n v="47"/>
    <n v="73"/>
    <n v="2021"/>
    <n v="6396597"/>
    <x v="327"/>
    <x v="4"/>
    <x v="3"/>
    <s v="Bank Loan"/>
    <n v="156"/>
    <n v="267530.25"/>
    <n v="2521078"/>
    <n v="189737.7659574468"/>
    <n v="47"/>
    <n v="6396596.6058719968"/>
    <n v="2019"/>
    <x v="59"/>
  </r>
  <r>
    <x v="328"/>
    <x v="317"/>
    <x v="2"/>
    <x v="2"/>
    <n v="2"/>
    <n v="3"/>
    <n v="42"/>
    <n v="78"/>
    <n v="2017"/>
    <n v="8634443"/>
    <x v="328"/>
    <x v="2"/>
    <x v="3"/>
    <s v="Bank Loan"/>
    <n v="248"/>
    <n v="339149.94"/>
    <n v="2670555"/>
    <n v="144935.87179487178"/>
    <n v="78"/>
    <n v="8634442.6907090582"/>
    <n v="2022"/>
    <x v="46"/>
  </r>
  <r>
    <x v="329"/>
    <x v="318"/>
    <x v="0"/>
    <x v="2"/>
    <n v="3"/>
    <n v="3"/>
    <n v="124"/>
    <n v="181"/>
    <n v="2014"/>
    <n v="3579672"/>
    <x v="329"/>
    <x v="0"/>
    <x v="0"/>
    <s v="Cash"/>
    <n v="263"/>
    <n v="142596.35999999999"/>
    <n v="1173540"/>
    <n v="26260.839779005524"/>
    <n v="181"/>
    <n v="3579671.6721654944"/>
    <n v="2024"/>
    <x v="77"/>
  </r>
  <r>
    <x v="330"/>
    <x v="319"/>
    <x v="1"/>
    <x v="2"/>
    <n v="1"/>
    <n v="1"/>
    <n v="118"/>
    <n v="157"/>
    <n v="2022"/>
    <n v="4630475"/>
    <x v="330"/>
    <x v="3"/>
    <x v="1"/>
    <s v="Pag-IBIG Loan"/>
    <n v="114"/>
    <n v="318028.76999999996"/>
    <n v="5970484"/>
    <n v="67522.031847133752"/>
    <n v="157"/>
    <n v="4630473.7106108982"/>
    <n v="2023"/>
    <x v="91"/>
  </r>
  <r>
    <x v="331"/>
    <x v="320"/>
    <x v="1"/>
    <x v="3"/>
    <n v="4"/>
    <n v="2"/>
    <n v="79"/>
    <n v="235"/>
    <n v="2013"/>
    <n v="6789948"/>
    <x v="331"/>
    <x v="6"/>
    <x v="2"/>
    <s v="Installment"/>
    <n v="189"/>
    <n v="75831.12"/>
    <n v="-4262244"/>
    <n v="10756.187234042553"/>
    <n v="235"/>
    <n v="6789948.627728519"/>
    <n v="2021"/>
    <x v="54"/>
  </r>
  <r>
    <x v="332"/>
    <x v="321"/>
    <x v="1"/>
    <x v="3"/>
    <n v="4"/>
    <n v="2"/>
    <n v="193"/>
    <n v="169"/>
    <n v="2020"/>
    <n v="4877436"/>
    <x v="332"/>
    <x v="0"/>
    <x v="3"/>
    <s v="Cash"/>
    <n v="374"/>
    <n v="146475.81"/>
    <n v="5091"/>
    <n v="28890.692307692309"/>
    <n v="169"/>
    <n v="4877435.9989562137"/>
    <n v="2018"/>
    <x v="56"/>
  </r>
  <r>
    <x v="333"/>
    <x v="322"/>
    <x v="3"/>
    <x v="0"/>
    <n v="1"/>
    <n v="4"/>
    <n v="158"/>
    <n v="159"/>
    <n v="2017"/>
    <n v="10902003"/>
    <x v="333"/>
    <x v="7"/>
    <x v="2"/>
    <s v="Cash"/>
    <n v="353"/>
    <n v="189480.18"/>
    <n v="-4585997"/>
    <n v="39974.721518987339"/>
    <n v="158"/>
    <n v="10902003.42065637"/>
    <n v="2020"/>
    <x v="10"/>
  </r>
  <r>
    <x v="334"/>
    <x v="323"/>
    <x v="3"/>
    <x v="1"/>
    <n v="1"/>
    <n v="3"/>
    <n v="183"/>
    <n v="230"/>
    <n v="2022"/>
    <n v="12705552"/>
    <x v="334"/>
    <x v="8"/>
    <x v="0"/>
    <s v="Cash"/>
    <n v="125"/>
    <n v="376421.85"/>
    <n v="-158157"/>
    <n v="68565"/>
    <n v="183"/>
    <n v="12705552.012447866"/>
    <n v="2021"/>
    <x v="70"/>
  </r>
  <r>
    <x v="335"/>
    <x v="324"/>
    <x v="0"/>
    <x v="2"/>
    <n v="3"/>
    <n v="2"/>
    <n v="77"/>
    <n v="89"/>
    <n v="2014"/>
    <n v="10585737"/>
    <x v="335"/>
    <x v="0"/>
    <x v="2"/>
    <s v="Bank Loan"/>
    <n v="274"/>
    <n v="355833.63"/>
    <n v="1275384"/>
    <n v="133271.02247191011"/>
    <n v="89"/>
    <n v="10585736.879518639"/>
    <n v="2022"/>
    <x v="79"/>
  </r>
  <r>
    <x v="336"/>
    <x v="325"/>
    <x v="3"/>
    <x v="0"/>
    <n v="2"/>
    <n v="2"/>
    <n v="108"/>
    <n v="171"/>
    <n v="2010"/>
    <n v="4203967"/>
    <x v="336"/>
    <x v="3"/>
    <x v="1"/>
    <s v="Cash"/>
    <n v="156"/>
    <n v="348180.06"/>
    <n v="7402035"/>
    <n v="107462.98148148147"/>
    <n v="108"/>
    <n v="4203965.2392737623"/>
    <n v="2022"/>
    <x v="14"/>
  </r>
  <r>
    <x v="337"/>
    <x v="326"/>
    <x v="1"/>
    <x v="0"/>
    <n v="4"/>
    <n v="1"/>
    <n v="40"/>
    <n v="167"/>
    <n v="2018"/>
    <n v="14885404"/>
    <x v="337"/>
    <x v="3"/>
    <x v="3"/>
    <s v="Pag-IBIG Loan"/>
    <n v="366"/>
    <n v="156349.59"/>
    <n v="-9673751"/>
    <n v="31207.502994011975"/>
    <n v="167"/>
    <n v="14885404.649881655"/>
    <n v="2025"/>
    <x v="28"/>
  </r>
  <r>
    <x v="338"/>
    <x v="327"/>
    <x v="1"/>
    <x v="1"/>
    <n v="3"/>
    <n v="4"/>
    <n v="175"/>
    <n v="201"/>
    <n v="2015"/>
    <n v="8491136"/>
    <x v="338"/>
    <x v="8"/>
    <x v="0"/>
    <s v="Bank Loan"/>
    <n v="158"/>
    <n v="268728.75"/>
    <n v="466489"/>
    <n v="44565.298507462685"/>
    <n v="201"/>
    <n v="8491135.9450616501"/>
    <n v="2019"/>
    <x v="47"/>
  </r>
  <r>
    <x v="339"/>
    <x v="328"/>
    <x v="3"/>
    <x v="1"/>
    <n v="1"/>
    <n v="3"/>
    <n v="61"/>
    <n v="101"/>
    <n v="2021"/>
    <n v="9227590"/>
    <x v="339"/>
    <x v="6"/>
    <x v="3"/>
    <s v="Pag-IBIG Loan"/>
    <n v="381"/>
    <n v="205193.1"/>
    <n v="-2387820"/>
    <n v="112127.37704918033"/>
    <n v="61"/>
    <n v="9227590.2587696239"/>
    <n v="2018"/>
    <x v="38"/>
  </r>
  <r>
    <x v="340"/>
    <x v="270"/>
    <x v="0"/>
    <x v="0"/>
    <n v="1"/>
    <n v="3"/>
    <n v="64"/>
    <n v="234"/>
    <n v="2023"/>
    <n v="9068783"/>
    <x v="340"/>
    <x v="3"/>
    <x v="2"/>
    <s v="Installment"/>
    <n v="223"/>
    <n v="305860.86"/>
    <n v="1126579"/>
    <n v="43569.923076923078"/>
    <n v="234"/>
    <n v="9068782.8757739607"/>
    <n v="2024"/>
    <x v="1"/>
  </r>
  <r>
    <x v="341"/>
    <x v="329"/>
    <x v="2"/>
    <x v="2"/>
    <n v="2"/>
    <n v="4"/>
    <n v="133"/>
    <n v="220"/>
    <n v="2021"/>
    <n v="9693425"/>
    <x v="341"/>
    <x v="8"/>
    <x v="1"/>
    <s v="Cash"/>
    <n v="397"/>
    <n v="90710.94"/>
    <n v="-6669727"/>
    <n v="13744.081818181818"/>
    <n v="220"/>
    <n v="9693425.6880671177"/>
    <n v="2022"/>
    <x v="90"/>
  </r>
  <r>
    <x v="342"/>
    <x v="330"/>
    <x v="3"/>
    <x v="3"/>
    <n v="4"/>
    <n v="2"/>
    <n v="88"/>
    <n v="136"/>
    <n v="2019"/>
    <n v="10658473"/>
    <x v="342"/>
    <x v="7"/>
    <x v="1"/>
    <s v="Installment"/>
    <n v="243"/>
    <n v="286452.57"/>
    <n v="-1110054"/>
    <n v="108504.76136363637"/>
    <n v="88"/>
    <n v="10658473.104147565"/>
    <n v="2025"/>
    <x v="83"/>
  </r>
  <r>
    <x v="343"/>
    <x v="331"/>
    <x v="2"/>
    <x v="3"/>
    <n v="2"/>
    <n v="4"/>
    <n v="120"/>
    <n v="167"/>
    <n v="2019"/>
    <n v="14033688"/>
    <x v="343"/>
    <x v="1"/>
    <x v="0"/>
    <s v="Bank Loan"/>
    <n v="366"/>
    <n v="169171.71"/>
    <n v="-8394631"/>
    <n v="33766.808383233532"/>
    <n v="167"/>
    <n v="14033688.598177115"/>
    <n v="2022"/>
    <x v="20"/>
  </r>
  <r>
    <x v="344"/>
    <x v="332"/>
    <x v="0"/>
    <x v="2"/>
    <n v="1"/>
    <n v="1"/>
    <n v="52"/>
    <n v="138"/>
    <n v="2021"/>
    <n v="7247562"/>
    <x v="344"/>
    <x v="6"/>
    <x v="1"/>
    <s v="Cash"/>
    <n v="376"/>
    <n v="72718.559999999998"/>
    <n v="-4823610"/>
    <n v="17564.869565217392"/>
    <n v="138"/>
    <n v="7247562.6655493258"/>
    <n v="2024"/>
    <x v="41"/>
  </r>
  <r>
    <x v="345"/>
    <x v="333"/>
    <x v="1"/>
    <x v="3"/>
    <n v="2"/>
    <n v="4"/>
    <n v="66"/>
    <n v="167"/>
    <n v="2021"/>
    <n v="5747064"/>
    <x v="345"/>
    <x v="8"/>
    <x v="2"/>
    <s v="Pag-IBIG Loan"/>
    <n v="269"/>
    <n v="383327.73"/>
    <n v="7030527"/>
    <n v="76512.520958083827"/>
    <n v="167"/>
    <n v="5747062.776675012"/>
    <n v="2019"/>
    <x v="26"/>
  </r>
  <r>
    <x v="346"/>
    <x v="334"/>
    <x v="1"/>
    <x v="0"/>
    <n v="3"/>
    <n v="2"/>
    <n v="87"/>
    <n v="90"/>
    <n v="2019"/>
    <n v="14769770"/>
    <x v="346"/>
    <x v="1"/>
    <x v="1"/>
    <s v="Bank Loan"/>
    <n v="204"/>
    <n v="77614.53"/>
    <n v="-12182619"/>
    <n v="28746.12222222222"/>
    <n v="90"/>
    <n v="14769770.824834714"/>
    <n v="2023"/>
    <x v="93"/>
  </r>
  <r>
    <x v="347"/>
    <x v="335"/>
    <x v="2"/>
    <x v="1"/>
    <n v="2"/>
    <n v="2"/>
    <n v="72"/>
    <n v="205"/>
    <n v="2010"/>
    <n v="10382412"/>
    <x v="347"/>
    <x v="3"/>
    <x v="3"/>
    <s v="Cash"/>
    <n v="142"/>
    <n v="205209.18"/>
    <n v="-3542106"/>
    <n v="33367.346341463417"/>
    <n v="205"/>
    <n v="10382412.341164077"/>
    <n v="2020"/>
    <x v="61"/>
  </r>
  <r>
    <x v="348"/>
    <x v="223"/>
    <x v="0"/>
    <x v="2"/>
    <n v="2"/>
    <n v="4"/>
    <n v="160"/>
    <n v="220"/>
    <n v="2010"/>
    <n v="8644854"/>
    <x v="348"/>
    <x v="6"/>
    <x v="3"/>
    <s v="Bank Loan"/>
    <n v="284"/>
    <n v="379472.67"/>
    <n v="4004235"/>
    <n v="57495.859090909093"/>
    <n v="220"/>
    <n v="8644853.5368070994"/>
    <n v="2024"/>
    <x v="82"/>
  </r>
  <r>
    <x v="349"/>
    <x v="336"/>
    <x v="1"/>
    <x v="3"/>
    <n v="2"/>
    <n v="4"/>
    <n v="88"/>
    <n v="191"/>
    <n v="2011"/>
    <n v="6089039"/>
    <x v="349"/>
    <x v="2"/>
    <x v="0"/>
    <s v="Cash"/>
    <n v="113"/>
    <n v="249470.69999999998"/>
    <n v="2226651"/>
    <n v="43537.64397905759"/>
    <n v="191"/>
    <n v="6089038.634318158"/>
    <n v="2025"/>
    <x v="58"/>
  </r>
  <r>
    <x v="350"/>
    <x v="337"/>
    <x v="0"/>
    <x v="3"/>
    <n v="3"/>
    <n v="1"/>
    <n v="100"/>
    <n v="103"/>
    <n v="2010"/>
    <n v="7817505"/>
    <x v="350"/>
    <x v="4"/>
    <x v="1"/>
    <s v="Cash"/>
    <n v="376"/>
    <n v="266507.15999999997"/>
    <n v="1066067"/>
    <n v="86248.271844660194"/>
    <n v="103"/>
    <n v="7817504.8636307875"/>
    <n v="2020"/>
    <x v="60"/>
  </r>
  <r>
    <x v="351"/>
    <x v="338"/>
    <x v="0"/>
    <x v="0"/>
    <n v="3"/>
    <n v="2"/>
    <n v="102"/>
    <n v="203"/>
    <n v="2021"/>
    <n v="4130614"/>
    <x v="351"/>
    <x v="6"/>
    <x v="2"/>
    <s v="Pag-IBIG Loan"/>
    <n v="223"/>
    <n v="65253.06"/>
    <n v="-1955512"/>
    <n v="10714.788177339902"/>
    <n v="203"/>
    <n v="4130614.4734192058"/>
    <n v="2021"/>
    <x v="70"/>
  </r>
  <r>
    <x v="352"/>
    <x v="339"/>
    <x v="2"/>
    <x v="0"/>
    <n v="3"/>
    <n v="2"/>
    <n v="140"/>
    <n v="155"/>
    <n v="2013"/>
    <n v="4715777"/>
    <x v="352"/>
    <x v="7"/>
    <x v="0"/>
    <s v="Bank Loan"/>
    <n v="352"/>
    <n v="120425.09999999999"/>
    <n v="-701607"/>
    <n v="25897.870967741936"/>
    <n v="155"/>
    <n v="4715777.1487786639"/>
    <n v="2024"/>
    <x v="76"/>
  </r>
  <r>
    <x v="353"/>
    <x v="340"/>
    <x v="3"/>
    <x v="3"/>
    <n v="4"/>
    <n v="3"/>
    <n v="144"/>
    <n v="98"/>
    <n v="2023"/>
    <n v="13786817"/>
    <x v="353"/>
    <x v="1"/>
    <x v="2"/>
    <s v="Bank Loan"/>
    <n v="355"/>
    <n v="46753.29"/>
    <n v="-12228374"/>
    <n v="10822.520833333334"/>
    <n v="144"/>
    <n v="13786817.886961363"/>
    <n v="2025"/>
    <x v="92"/>
  </r>
  <r>
    <x v="354"/>
    <x v="341"/>
    <x v="3"/>
    <x v="2"/>
    <n v="3"/>
    <n v="4"/>
    <n v="64"/>
    <n v="116"/>
    <n v="2021"/>
    <n v="12404522"/>
    <x v="354"/>
    <x v="4"/>
    <x v="3"/>
    <s v="Cash"/>
    <n v="206"/>
    <n v="333110.03999999998"/>
    <n v="-1300854"/>
    <n v="173494.8125"/>
    <n v="64"/>
    <n v="12404522.104869338"/>
    <n v="2018"/>
    <x v="62"/>
  </r>
  <r>
    <x v="355"/>
    <x v="342"/>
    <x v="1"/>
    <x v="2"/>
    <n v="3"/>
    <n v="2"/>
    <n v="77"/>
    <n v="67"/>
    <n v="2018"/>
    <n v="10473344"/>
    <x v="355"/>
    <x v="5"/>
    <x v="0"/>
    <s v="Bank Loan"/>
    <n v="167"/>
    <n v="97437.599999999991"/>
    <n v="-7225424"/>
    <n v="48476.417910447759"/>
    <n v="67"/>
    <n v="10473344.689887011"/>
    <n v="2026"/>
    <x v="22"/>
  </r>
  <r>
    <x v="356"/>
    <x v="343"/>
    <x v="2"/>
    <x v="3"/>
    <n v="4"/>
    <n v="2"/>
    <n v="81"/>
    <n v="95"/>
    <n v="2014"/>
    <n v="13851114"/>
    <x v="356"/>
    <x v="8"/>
    <x v="3"/>
    <s v="Cash"/>
    <n v="376"/>
    <n v="296874.18"/>
    <n v="-3955308"/>
    <n v="104166.37894736842"/>
    <n v="95"/>
    <n v="13851114.285558837"/>
    <n v="2022"/>
    <x v="15"/>
  </r>
  <r>
    <x v="357"/>
    <x v="344"/>
    <x v="1"/>
    <x v="2"/>
    <n v="2"/>
    <n v="1"/>
    <n v="52"/>
    <n v="98"/>
    <n v="2010"/>
    <n v="2737279"/>
    <x v="357"/>
    <x v="5"/>
    <x v="1"/>
    <s v="Bank Loan"/>
    <n v="393"/>
    <n v="377244.77999999997"/>
    <n v="9837547"/>
    <n v="128314.55102040817"/>
    <n v="98"/>
    <n v="2737275.4060853864"/>
    <n v="2023"/>
    <x v="64"/>
  </r>
  <r>
    <x v="358"/>
    <x v="345"/>
    <x v="1"/>
    <x v="2"/>
    <n v="2"/>
    <n v="2"/>
    <n v="105"/>
    <n v="87"/>
    <n v="2010"/>
    <n v="14262214"/>
    <x v="358"/>
    <x v="0"/>
    <x v="0"/>
    <s v="Installment"/>
    <n v="109"/>
    <n v="237852.66"/>
    <n v="-6333792"/>
    <n v="91131.287356321845"/>
    <n v="87"/>
    <n v="14262214.444095986"/>
    <n v="2018"/>
    <x v="11"/>
  </r>
  <r>
    <x v="359"/>
    <x v="346"/>
    <x v="3"/>
    <x v="1"/>
    <n v="4"/>
    <n v="3"/>
    <n v="81"/>
    <n v="170"/>
    <n v="2014"/>
    <n v="5393486"/>
    <x v="359"/>
    <x v="1"/>
    <x v="1"/>
    <s v="Installment"/>
    <n v="233"/>
    <n v="335580.45"/>
    <n v="5792529"/>
    <n v="138098.95061728396"/>
    <n v="81"/>
    <n v="5393484.926013899"/>
    <n v="2019"/>
    <x v="59"/>
  </r>
  <r>
    <x v="360"/>
    <x v="347"/>
    <x v="3"/>
    <x v="1"/>
    <n v="4"/>
    <n v="2"/>
    <n v="69"/>
    <n v="166"/>
    <n v="2011"/>
    <n v="5901314"/>
    <x v="360"/>
    <x v="6"/>
    <x v="2"/>
    <s v="Pag-IBIG Loan"/>
    <n v="276"/>
    <n v="155676.15"/>
    <n v="-712109"/>
    <n v="75205.869565217392"/>
    <n v="69"/>
    <n v="5901314.1206695661"/>
    <n v="2020"/>
    <x v="25"/>
  </r>
  <r>
    <x v="361"/>
    <x v="348"/>
    <x v="0"/>
    <x v="0"/>
    <n v="2"/>
    <n v="1"/>
    <n v="194"/>
    <n v="63"/>
    <n v="2013"/>
    <n v="12411562"/>
    <x v="361"/>
    <x v="1"/>
    <x v="1"/>
    <s v="Cash"/>
    <n v="260"/>
    <n v="181484.00999999998"/>
    <n v="-6362095"/>
    <n v="96023.28571428571"/>
    <n v="63"/>
    <n v="12411562.512594225"/>
    <n v="2018"/>
    <x v="38"/>
  </r>
  <r>
    <x v="362"/>
    <x v="349"/>
    <x v="2"/>
    <x v="1"/>
    <n v="2"/>
    <n v="1"/>
    <n v="75"/>
    <n v="174"/>
    <n v="2023"/>
    <n v="8261867"/>
    <x v="362"/>
    <x v="4"/>
    <x v="0"/>
    <s v="Installment"/>
    <n v="342"/>
    <n v="170644.13999999998"/>
    <n v="-2573729"/>
    <n v="32690.448275862069"/>
    <n v="174"/>
    <n v="8261867.3115190547"/>
    <n v="2020"/>
    <x v="8"/>
  </r>
  <r>
    <x v="363"/>
    <x v="350"/>
    <x v="0"/>
    <x v="0"/>
    <n v="2"/>
    <n v="4"/>
    <n v="71"/>
    <n v="211"/>
    <n v="2017"/>
    <n v="7542859"/>
    <x v="363"/>
    <x v="1"/>
    <x v="3"/>
    <s v="Cash"/>
    <n v="394"/>
    <n v="209127.03"/>
    <n v="-571958"/>
    <n v="33037.445497630331"/>
    <n v="211"/>
    <n v="7542859.0758277467"/>
    <n v="2023"/>
    <x v="91"/>
  </r>
  <r>
    <x v="364"/>
    <x v="351"/>
    <x v="0"/>
    <x v="3"/>
    <n v="3"/>
    <n v="1"/>
    <n v="103"/>
    <n v="145"/>
    <n v="2023"/>
    <n v="12616550"/>
    <x v="364"/>
    <x v="1"/>
    <x v="2"/>
    <s v="Cash"/>
    <n v="219"/>
    <n v="241048.25999999998"/>
    <n v="-4581608"/>
    <n v="55413.393103448274"/>
    <n v="145"/>
    <n v="12616550.363142697"/>
    <n v="2023"/>
    <x v="75"/>
  </r>
  <r>
    <x v="365"/>
    <x v="352"/>
    <x v="0"/>
    <x v="3"/>
    <n v="4"/>
    <n v="4"/>
    <n v="75"/>
    <n v="163"/>
    <n v="2010"/>
    <n v="10026268"/>
    <x v="365"/>
    <x v="1"/>
    <x v="0"/>
    <s v="Pag-IBIG Loan"/>
    <n v="351"/>
    <n v="185359.8"/>
    <n v="-3847608"/>
    <n v="37905.88957055215"/>
    <n v="163"/>
    <n v="10026268.383752758"/>
    <n v="2018"/>
    <x v="43"/>
  </r>
  <r>
    <x v="366"/>
    <x v="353"/>
    <x v="1"/>
    <x v="2"/>
    <n v="2"/>
    <n v="3"/>
    <n v="75"/>
    <n v="135"/>
    <n v="2022"/>
    <n v="3427817"/>
    <x v="366"/>
    <x v="7"/>
    <x v="1"/>
    <s v="Pag-IBIG Loan"/>
    <n v="205"/>
    <n v="330174.87"/>
    <n v="7578012"/>
    <n v="81524.659259259264"/>
    <n v="135"/>
    <n v="3427814.7892600452"/>
    <n v="2019"/>
    <x v="78"/>
  </r>
  <r>
    <x v="367"/>
    <x v="354"/>
    <x v="2"/>
    <x v="0"/>
    <n v="3"/>
    <n v="1"/>
    <n v="160"/>
    <n v="181"/>
    <n v="2012"/>
    <n v="12895986"/>
    <x v="367"/>
    <x v="6"/>
    <x v="3"/>
    <s v="Bank Loan"/>
    <n v="156"/>
    <n v="190709.55"/>
    <n v="-6539001"/>
    <n v="35121.464088397792"/>
    <n v="181"/>
    <n v="12895986.50705708"/>
    <n v="2023"/>
    <x v="0"/>
  </r>
  <r>
    <x v="368"/>
    <x v="355"/>
    <x v="1"/>
    <x v="1"/>
    <n v="4"/>
    <n v="1"/>
    <n v="118"/>
    <n v="198"/>
    <n v="2013"/>
    <n v="13597790"/>
    <x v="368"/>
    <x v="3"/>
    <x v="1"/>
    <s v="Cash"/>
    <n v="321"/>
    <n v="176498.88"/>
    <n v="-7714494"/>
    <n v="29713.616161616163"/>
    <n v="198"/>
    <n v="13597790.567334399"/>
    <n v="2021"/>
    <x v="19"/>
  </r>
  <r>
    <x v="369"/>
    <x v="356"/>
    <x v="1"/>
    <x v="0"/>
    <n v="4"/>
    <n v="3"/>
    <n v="183"/>
    <n v="239"/>
    <n v="2021"/>
    <n v="12423969"/>
    <x v="369"/>
    <x v="0"/>
    <x v="3"/>
    <s v="Installment"/>
    <n v="294"/>
    <n v="121408.04999999999"/>
    <n v="-8377034"/>
    <n v="16932.782426778242"/>
    <n v="239"/>
    <n v="12423969.674263917"/>
    <n v="2019"/>
    <x v="59"/>
  </r>
  <r>
    <x v="370"/>
    <x v="357"/>
    <x v="3"/>
    <x v="3"/>
    <n v="3"/>
    <n v="3"/>
    <n v="116"/>
    <n v="242"/>
    <n v="2016"/>
    <n v="10147871"/>
    <x v="370"/>
    <x v="6"/>
    <x v="2"/>
    <s v="Bank Loan"/>
    <n v="150"/>
    <n v="337269.93"/>
    <n v="1094460"/>
    <n v="96916.646551724145"/>
    <n v="116"/>
    <n v="10147870.892148806"/>
    <n v="2019"/>
    <x v="85"/>
  </r>
  <r>
    <x v="371"/>
    <x v="358"/>
    <x v="1"/>
    <x v="1"/>
    <n v="3"/>
    <n v="3"/>
    <n v="197"/>
    <n v="171"/>
    <n v="2013"/>
    <n v="11338224"/>
    <x v="371"/>
    <x v="1"/>
    <x v="3"/>
    <s v="Bank Loan"/>
    <n v="122"/>
    <n v="256072.86"/>
    <n v="-2802462"/>
    <n v="49916.73684210526"/>
    <n v="171"/>
    <n v="11338224.247169398"/>
    <n v="2024"/>
    <x v="73"/>
  </r>
  <r>
    <x v="372"/>
    <x v="359"/>
    <x v="2"/>
    <x v="0"/>
    <n v="3"/>
    <n v="4"/>
    <n v="160"/>
    <n v="223"/>
    <n v="2020"/>
    <n v="11747621"/>
    <x v="372"/>
    <x v="8"/>
    <x v="2"/>
    <s v="Installment"/>
    <n v="228"/>
    <n v="45274.71"/>
    <n v="-10238464"/>
    <n v="6767.5201793721972"/>
    <n v="223"/>
    <n v="11747621.871535096"/>
    <n v="2022"/>
    <x v="14"/>
  </r>
  <r>
    <x v="373"/>
    <x v="360"/>
    <x v="0"/>
    <x v="2"/>
    <n v="4"/>
    <n v="4"/>
    <n v="160"/>
    <n v="101"/>
    <n v="2021"/>
    <n v="2805237"/>
    <x v="373"/>
    <x v="8"/>
    <x v="1"/>
    <s v="Cash"/>
    <n v="258"/>
    <n v="140438.31"/>
    <n v="1876040"/>
    <n v="46349.27722772277"/>
    <n v="101"/>
    <n v="2805236.3312365408"/>
    <n v="2019"/>
    <x v="80"/>
  </r>
  <r>
    <x v="374"/>
    <x v="361"/>
    <x v="1"/>
    <x v="2"/>
    <n v="1"/>
    <n v="1"/>
    <n v="182"/>
    <n v="82"/>
    <n v="2015"/>
    <n v="4155442"/>
    <x v="374"/>
    <x v="0"/>
    <x v="0"/>
    <s v="Installment"/>
    <n v="101"/>
    <n v="308943.77999999997"/>
    <n v="6142684"/>
    <n v="125586.90243902439"/>
    <n v="82"/>
    <n v="4155440.5217736163"/>
    <n v="2023"/>
    <x v="35"/>
  </r>
  <r>
    <x v="375"/>
    <x v="362"/>
    <x v="3"/>
    <x v="1"/>
    <n v="4"/>
    <n v="4"/>
    <n v="162"/>
    <n v="121"/>
    <n v="2019"/>
    <n v="3109950"/>
    <x v="375"/>
    <x v="0"/>
    <x v="0"/>
    <s v="Installment"/>
    <n v="185"/>
    <n v="343229.1"/>
    <n v="8331020"/>
    <n v="70623.271604938273"/>
    <n v="162"/>
    <n v="3109947.3211723659"/>
    <n v="2023"/>
    <x v="93"/>
  </r>
  <r>
    <x v="376"/>
    <x v="363"/>
    <x v="3"/>
    <x v="2"/>
    <n v="3"/>
    <n v="3"/>
    <n v="89"/>
    <n v="167"/>
    <n v="2014"/>
    <n v="11898975"/>
    <x v="376"/>
    <x v="3"/>
    <x v="0"/>
    <s v="Bank Loan"/>
    <n v="353"/>
    <n v="336830.39999999997"/>
    <n v="-671295"/>
    <n v="126153.70786516854"/>
    <n v="89"/>
    <n v="11898975.056416204"/>
    <n v="2023"/>
    <x v="93"/>
  </r>
  <r>
    <x v="377"/>
    <x v="364"/>
    <x v="3"/>
    <x v="2"/>
    <n v="3"/>
    <n v="2"/>
    <n v="170"/>
    <n v="220"/>
    <n v="2023"/>
    <n v="6547978"/>
    <x v="377"/>
    <x v="1"/>
    <x v="1"/>
    <s v="Cash"/>
    <n v="148"/>
    <n v="64392.39"/>
    <n v="-4401565"/>
    <n v="12625.958823529412"/>
    <n v="170"/>
    <n v="6547978.6722021671"/>
    <n v="2021"/>
    <x v="53"/>
  </r>
  <r>
    <x v="378"/>
    <x v="31"/>
    <x v="1"/>
    <x v="1"/>
    <n v="1"/>
    <n v="4"/>
    <n v="181"/>
    <n v="102"/>
    <n v="2011"/>
    <n v="4036499"/>
    <x v="378"/>
    <x v="0"/>
    <x v="1"/>
    <s v="Installment"/>
    <n v="169"/>
    <n v="108624"/>
    <n v="-415699"/>
    <n v="35498.039215686273"/>
    <n v="102"/>
    <n v="4036499.1029850375"/>
    <n v="2019"/>
    <x v="26"/>
  </r>
  <r>
    <x v="379"/>
    <x v="365"/>
    <x v="2"/>
    <x v="2"/>
    <n v="3"/>
    <n v="1"/>
    <n v="92"/>
    <n v="79"/>
    <n v="2014"/>
    <n v="11891585"/>
    <x v="379"/>
    <x v="4"/>
    <x v="2"/>
    <s v="Installment"/>
    <n v="106"/>
    <n v="184558.62"/>
    <n v="-5739631"/>
    <n v="77872.83544303797"/>
    <n v="79"/>
    <n v="11891585.482663244"/>
    <n v="2023"/>
    <x v="0"/>
  </r>
  <r>
    <x v="380"/>
    <x v="366"/>
    <x v="2"/>
    <x v="0"/>
    <n v="1"/>
    <n v="1"/>
    <n v="98"/>
    <n v="197"/>
    <n v="2023"/>
    <n v="7008328"/>
    <x v="380"/>
    <x v="7"/>
    <x v="0"/>
    <s v="Bank Loan"/>
    <n v="392"/>
    <n v="342158.58"/>
    <n v="4396958"/>
    <n v="57894.852791878169"/>
    <n v="197"/>
    <n v="7008327.3726095585"/>
    <n v="2023"/>
    <x v="2"/>
  </r>
  <r>
    <x v="381"/>
    <x v="367"/>
    <x v="3"/>
    <x v="2"/>
    <n v="1"/>
    <n v="1"/>
    <n v="184"/>
    <n v="124"/>
    <n v="2013"/>
    <n v="9405874"/>
    <x v="381"/>
    <x v="0"/>
    <x v="3"/>
    <s v="Bank Loan"/>
    <n v="390"/>
    <n v="261271.31999999998"/>
    <n v="-696830"/>
    <n v="47331.760869565216"/>
    <n v="184"/>
    <n v="9405874.0740845557"/>
    <n v="2020"/>
    <x v="10"/>
  </r>
  <r>
    <x v="382"/>
    <x v="368"/>
    <x v="2"/>
    <x v="2"/>
    <n v="1"/>
    <n v="4"/>
    <n v="102"/>
    <n v="119"/>
    <n v="2017"/>
    <n v="11244780"/>
    <x v="382"/>
    <x v="1"/>
    <x v="2"/>
    <s v="Cash"/>
    <n v="205"/>
    <n v="60918.299999999996"/>
    <n v="-9214170"/>
    <n v="17063.949579831933"/>
    <n v="119"/>
    <n v="11244780.819417544"/>
    <n v="2023"/>
    <x v="64"/>
  </r>
  <r>
    <x v="383"/>
    <x v="369"/>
    <x v="2"/>
    <x v="1"/>
    <n v="2"/>
    <n v="2"/>
    <n v="180"/>
    <n v="69"/>
    <n v="2014"/>
    <n v="10849982"/>
    <x v="383"/>
    <x v="5"/>
    <x v="2"/>
    <s v="Pag-IBIG Loan"/>
    <n v="293"/>
    <n v="385100.13"/>
    <n v="1986689"/>
    <n v="186038.71014492755"/>
    <n v="69"/>
    <n v="10849981.816894719"/>
    <n v="2023"/>
    <x v="75"/>
  </r>
  <r>
    <x v="384"/>
    <x v="370"/>
    <x v="0"/>
    <x v="0"/>
    <n v="3"/>
    <n v="3"/>
    <n v="76"/>
    <n v="103"/>
    <n v="2014"/>
    <n v="8699757"/>
    <x v="384"/>
    <x v="7"/>
    <x v="0"/>
    <s v="Installment"/>
    <n v="343"/>
    <n v="194392.94999999998"/>
    <n v="-2219992"/>
    <n v="62910.339805825242"/>
    <n v="103"/>
    <n v="8699757.255178621"/>
    <n v="2023"/>
    <x v="93"/>
  </r>
  <r>
    <x v="385"/>
    <x v="371"/>
    <x v="3"/>
    <x v="1"/>
    <n v="3"/>
    <n v="3"/>
    <n v="171"/>
    <n v="142"/>
    <n v="2023"/>
    <n v="13527421"/>
    <x v="385"/>
    <x v="3"/>
    <x v="2"/>
    <s v="Installment"/>
    <n v="320"/>
    <n v="95194.319999999992"/>
    <n v="-10354277"/>
    <n v="18556.397660818715"/>
    <n v="171"/>
    <n v="13527421.765428754"/>
    <n v="2021"/>
    <x v="53"/>
  </r>
  <r>
    <x v="386"/>
    <x v="372"/>
    <x v="0"/>
    <x v="1"/>
    <n v="1"/>
    <n v="4"/>
    <n v="55"/>
    <n v="246"/>
    <n v="2023"/>
    <n v="4788914"/>
    <x v="386"/>
    <x v="5"/>
    <x v="2"/>
    <s v="Cash"/>
    <n v="259"/>
    <n v="58755.09"/>
    <n v="-2830411"/>
    <n v="7961.3943089430895"/>
    <n v="246"/>
    <n v="4788914.5910340007"/>
    <n v="2018"/>
    <x v="67"/>
  </r>
  <r>
    <x v="387"/>
    <x v="373"/>
    <x v="0"/>
    <x v="0"/>
    <n v="4"/>
    <n v="1"/>
    <n v="48"/>
    <n v="64"/>
    <n v="2018"/>
    <n v="10047664"/>
    <x v="387"/>
    <x v="2"/>
    <x v="1"/>
    <s v="Installment"/>
    <n v="357"/>
    <n v="50338.2"/>
    <n v="-8369724"/>
    <n v="26217.8125"/>
    <n v="64"/>
    <n v="10047664.833001979"/>
    <n v="2025"/>
    <x v="39"/>
  </r>
  <r>
    <x v="388"/>
    <x v="374"/>
    <x v="0"/>
    <x v="1"/>
    <n v="1"/>
    <n v="4"/>
    <n v="177"/>
    <n v="208"/>
    <n v="2020"/>
    <n v="8499677"/>
    <x v="388"/>
    <x v="4"/>
    <x v="3"/>
    <s v="Pag-IBIG Loan"/>
    <n v="383"/>
    <n v="202358.69999999998"/>
    <n v="-1754387"/>
    <n v="32429.278846153848"/>
    <n v="208"/>
    <n v="8499677.2064063139"/>
    <n v="2020"/>
    <x v="96"/>
  </r>
  <r>
    <x v="389"/>
    <x v="375"/>
    <x v="1"/>
    <x v="0"/>
    <n v="2"/>
    <n v="2"/>
    <n v="145"/>
    <n v="126"/>
    <n v="2016"/>
    <n v="9464302"/>
    <x v="389"/>
    <x v="5"/>
    <x v="0"/>
    <s v="Installment"/>
    <n v="384"/>
    <n v="144238.29"/>
    <n v="-4656359"/>
    <n v="38158.277777777781"/>
    <n v="126"/>
    <n v="9464302.4919918031"/>
    <n v="2022"/>
    <x v="32"/>
  </r>
  <r>
    <x v="390"/>
    <x v="376"/>
    <x v="2"/>
    <x v="2"/>
    <n v="2"/>
    <n v="2"/>
    <n v="153"/>
    <n v="156"/>
    <n v="2019"/>
    <n v="10100933"/>
    <x v="390"/>
    <x v="6"/>
    <x v="1"/>
    <s v="Bank Loan"/>
    <n v="157"/>
    <n v="380202.69"/>
    <n v="2572490"/>
    <n v="81239.891025641031"/>
    <n v="156"/>
    <n v="10100932.745321546"/>
    <n v="2023"/>
    <x v="91"/>
  </r>
  <r>
    <x v="391"/>
    <x v="52"/>
    <x v="3"/>
    <x v="0"/>
    <n v="3"/>
    <n v="2"/>
    <n v="156"/>
    <n v="62"/>
    <n v="2016"/>
    <n v="3479020"/>
    <x v="391"/>
    <x v="5"/>
    <x v="0"/>
    <s v="Pag-IBIG Loan"/>
    <n v="218"/>
    <n v="269269.02"/>
    <n v="5496614"/>
    <n v="57536.115384615383"/>
    <n v="156"/>
    <n v="3479018.4200682952"/>
    <n v="2023"/>
    <x v="35"/>
  </r>
  <r>
    <x v="392"/>
    <x v="377"/>
    <x v="1"/>
    <x v="1"/>
    <n v="3"/>
    <n v="3"/>
    <n v="137"/>
    <n v="154"/>
    <n v="2020"/>
    <n v="8315998"/>
    <x v="392"/>
    <x v="6"/>
    <x v="0"/>
    <s v="Cash"/>
    <n v="316"/>
    <n v="284845.95"/>
    <n v="1178867"/>
    <n v="61654.967532467534"/>
    <n v="154"/>
    <n v="8315997.8582410673"/>
    <n v="2019"/>
    <x v="80"/>
  </r>
  <r>
    <x v="393"/>
    <x v="378"/>
    <x v="1"/>
    <x v="2"/>
    <n v="2"/>
    <n v="2"/>
    <n v="187"/>
    <n v="104"/>
    <n v="2022"/>
    <n v="9596638"/>
    <x v="393"/>
    <x v="5"/>
    <x v="2"/>
    <s v="Pag-IBIG Loan"/>
    <n v="149"/>
    <n v="247695"/>
    <n v="-1340138"/>
    <n v="79389.423076923078"/>
    <n v="104"/>
    <n v="9596638.139646614"/>
    <n v="2023"/>
    <x v="68"/>
  </r>
  <r>
    <x v="394"/>
    <x v="369"/>
    <x v="1"/>
    <x v="1"/>
    <n v="1"/>
    <n v="2"/>
    <n v="53"/>
    <n v="89"/>
    <n v="2018"/>
    <n v="7441035"/>
    <x v="394"/>
    <x v="4"/>
    <x v="2"/>
    <s v="Cash"/>
    <n v="373"/>
    <n v="160208.49"/>
    <n v="-2100752"/>
    <n v="60003.1797752809"/>
    <n v="89"/>
    <n v="7441035.2823198652"/>
    <n v="2023"/>
    <x v="75"/>
  </r>
  <r>
    <x v="395"/>
    <x v="379"/>
    <x v="1"/>
    <x v="2"/>
    <n v="3"/>
    <n v="4"/>
    <n v="174"/>
    <n v="101"/>
    <n v="2015"/>
    <n v="8425559"/>
    <x v="395"/>
    <x v="3"/>
    <x v="0"/>
    <s v="Installment"/>
    <n v="309"/>
    <n v="325762.34999999998"/>
    <n v="2433186"/>
    <n v="107512.32673267326"/>
    <n v="101"/>
    <n v="8425558.7112137005"/>
    <n v="2021"/>
    <x v="29"/>
  </r>
  <r>
    <x v="396"/>
    <x v="380"/>
    <x v="1"/>
    <x v="1"/>
    <n v="4"/>
    <n v="4"/>
    <n v="110"/>
    <n v="225"/>
    <n v="2016"/>
    <n v="10509364"/>
    <x v="396"/>
    <x v="3"/>
    <x v="1"/>
    <s v="Pag-IBIG Loan"/>
    <n v="116"/>
    <n v="234597.03"/>
    <n v="-2689463"/>
    <n v="34755.115555555552"/>
    <n v="225"/>
    <n v="10509364.25591111"/>
    <n v="2020"/>
    <x v="96"/>
  </r>
  <r>
    <x v="397"/>
    <x v="381"/>
    <x v="3"/>
    <x v="3"/>
    <n v="3"/>
    <n v="4"/>
    <n v="49"/>
    <n v="249"/>
    <n v="2015"/>
    <n v="3585868"/>
    <x v="397"/>
    <x v="1"/>
    <x v="3"/>
    <s v="Installment"/>
    <n v="170"/>
    <n v="361756.07999999996"/>
    <n v="8472668"/>
    <n v="246092.57142857142"/>
    <n v="49"/>
    <n v="3585865.6372058312"/>
    <n v="2023"/>
    <x v="93"/>
  </r>
  <r>
    <x v="398"/>
    <x v="382"/>
    <x v="2"/>
    <x v="2"/>
    <n v="3"/>
    <n v="2"/>
    <n v="83"/>
    <n v="96"/>
    <n v="2012"/>
    <n v="8767160"/>
    <x v="398"/>
    <x v="1"/>
    <x v="0"/>
    <s v="Bank Loan"/>
    <n v="296"/>
    <n v="126321.78"/>
    <n v="-4556434"/>
    <n v="43861.729166666664"/>
    <n v="96"/>
    <n v="8767160.5197160766"/>
    <n v="2024"/>
    <x v="76"/>
  </r>
  <r>
    <x v="399"/>
    <x v="383"/>
    <x v="0"/>
    <x v="1"/>
    <n v="3"/>
    <n v="4"/>
    <n v="145"/>
    <n v="119"/>
    <n v="2022"/>
    <n v="6899985"/>
    <x v="399"/>
    <x v="1"/>
    <x v="0"/>
    <s v="Pag-IBIG Loan"/>
    <n v="345"/>
    <n v="298483.5"/>
    <n v="3049465"/>
    <n v="83608.823529411762"/>
    <n v="119"/>
    <n v="6899984.5580475898"/>
    <n v="2020"/>
    <x v="8"/>
  </r>
  <r>
    <x v="400"/>
    <x v="384"/>
    <x v="2"/>
    <x v="1"/>
    <n v="4"/>
    <n v="1"/>
    <n v="189"/>
    <n v="182"/>
    <n v="2018"/>
    <n v="5270521"/>
    <x v="400"/>
    <x v="4"/>
    <x v="0"/>
    <s v="Bank Loan"/>
    <n v="271"/>
    <n v="296624.31"/>
    <n v="4616956"/>
    <n v="54326.796703296706"/>
    <n v="182"/>
    <n v="5270520.1240038695"/>
    <n v="2023"/>
    <x v="2"/>
  </r>
  <r>
    <x v="401"/>
    <x v="385"/>
    <x v="1"/>
    <x v="3"/>
    <n v="4"/>
    <n v="3"/>
    <n v="153"/>
    <n v="89"/>
    <n v="2014"/>
    <n v="4097590"/>
    <x v="401"/>
    <x v="8"/>
    <x v="1"/>
    <s v="Installment"/>
    <n v="356"/>
    <n v="212176.22999999998"/>
    <n v="2974951"/>
    <n v="79466.752808988764"/>
    <n v="89"/>
    <n v="4097589.2739754342"/>
    <n v="2023"/>
    <x v="68"/>
  </r>
  <r>
    <x v="402"/>
    <x v="386"/>
    <x v="1"/>
    <x v="1"/>
    <n v="3"/>
    <n v="1"/>
    <n v="164"/>
    <n v="146"/>
    <n v="2011"/>
    <n v="10942140"/>
    <x v="402"/>
    <x v="4"/>
    <x v="3"/>
    <s v="Pag-IBIG Loan"/>
    <n v="341"/>
    <n v="76261.08"/>
    <n v="-8400104"/>
    <n v="17411.205479452055"/>
    <n v="146"/>
    <n v="10942140.767683836"/>
    <n v="2025"/>
    <x v="65"/>
  </r>
  <r>
    <x v="403"/>
    <x v="387"/>
    <x v="0"/>
    <x v="0"/>
    <n v="1"/>
    <n v="1"/>
    <n v="135"/>
    <n v="159"/>
    <n v="2010"/>
    <n v="11191961"/>
    <x v="403"/>
    <x v="4"/>
    <x v="0"/>
    <s v="Cash"/>
    <n v="352"/>
    <n v="322980.47999999998"/>
    <n v="-425945"/>
    <n v="67710.792452830196"/>
    <n v="159"/>
    <n v="11191961.038058121"/>
    <n v="2021"/>
    <x v="70"/>
  </r>
  <r>
    <x v="404"/>
    <x v="388"/>
    <x v="1"/>
    <x v="0"/>
    <n v="2"/>
    <n v="4"/>
    <n v="126"/>
    <n v="176"/>
    <n v="2020"/>
    <n v="14162568"/>
    <x v="404"/>
    <x v="2"/>
    <x v="2"/>
    <s v="Bank Loan"/>
    <n v="234"/>
    <n v="155269.53"/>
    <n v="-8986917"/>
    <n v="29407.107954545456"/>
    <n v="176"/>
    <n v="14162568.6345542"/>
    <n v="2018"/>
    <x v="16"/>
  </r>
  <r>
    <x v="405"/>
    <x v="389"/>
    <x v="3"/>
    <x v="1"/>
    <n v="3"/>
    <n v="1"/>
    <n v="177"/>
    <n v="158"/>
    <n v="2021"/>
    <n v="11657956"/>
    <x v="405"/>
    <x v="2"/>
    <x v="0"/>
    <s v="Installment"/>
    <n v="137"/>
    <n v="360823.58999999997"/>
    <n v="369497"/>
    <n v="67951.711864406781"/>
    <n v="177"/>
    <n v="11657955.968305165"/>
    <n v="2024"/>
    <x v="87"/>
  </r>
  <r>
    <x v="406"/>
    <x v="390"/>
    <x v="1"/>
    <x v="0"/>
    <n v="3"/>
    <n v="4"/>
    <n v="180"/>
    <n v="247"/>
    <n v="2017"/>
    <n v="4472731"/>
    <x v="406"/>
    <x v="5"/>
    <x v="2"/>
    <s v="Installment"/>
    <n v="184"/>
    <n v="100090.23"/>
    <n v="-1136390"/>
    <n v="13507.453441295547"/>
    <n v="247"/>
    <n v="4472731.2540707234"/>
    <n v="2022"/>
    <x v="86"/>
  </r>
  <r>
    <x v="407"/>
    <x v="391"/>
    <x v="2"/>
    <x v="2"/>
    <n v="4"/>
    <n v="3"/>
    <n v="146"/>
    <n v="133"/>
    <n v="2017"/>
    <n v="5792892"/>
    <x v="407"/>
    <x v="8"/>
    <x v="3"/>
    <s v="Installment"/>
    <n v="342"/>
    <n v="55725.96"/>
    <n v="-3935360"/>
    <n v="13966.406015037594"/>
    <n v="133"/>
    <n v="5792892.6793428911"/>
    <n v="2022"/>
    <x v="5"/>
  </r>
  <r>
    <x v="408"/>
    <x v="392"/>
    <x v="3"/>
    <x v="2"/>
    <n v="4"/>
    <n v="2"/>
    <n v="102"/>
    <n v="185"/>
    <n v="2014"/>
    <n v="5232092"/>
    <x v="408"/>
    <x v="2"/>
    <x v="0"/>
    <s v="Bank Loan"/>
    <n v="160"/>
    <n v="126969.26999999999"/>
    <n v="-999783"/>
    <n v="41493.225490196077"/>
    <n v="102"/>
    <n v="5232092.1910866629"/>
    <n v="2025"/>
    <x v="95"/>
  </r>
  <r>
    <x v="409"/>
    <x v="393"/>
    <x v="0"/>
    <x v="1"/>
    <n v="2"/>
    <n v="1"/>
    <n v="161"/>
    <n v="204"/>
    <n v="2023"/>
    <n v="7226652"/>
    <x v="409"/>
    <x v="1"/>
    <x v="1"/>
    <s v="Cash"/>
    <n v="302"/>
    <n v="176126.66999999998"/>
    <n v="-1355763"/>
    <n v="28778.867647058825"/>
    <n v="204"/>
    <n v="7226652.1876059622"/>
    <n v="2018"/>
    <x v="56"/>
  </r>
  <r>
    <x v="410"/>
    <x v="394"/>
    <x v="2"/>
    <x v="2"/>
    <n v="2"/>
    <n v="4"/>
    <n v="127"/>
    <n v="113"/>
    <n v="2022"/>
    <n v="12516536"/>
    <x v="410"/>
    <x v="8"/>
    <x v="0"/>
    <s v="Bank Loan"/>
    <n v="334"/>
    <n v="346897.38"/>
    <n v="-953290"/>
    <n v="102329.61061946902"/>
    <n v="113"/>
    <n v="12516536.076162446"/>
    <n v="2020"/>
    <x v="25"/>
  </r>
  <r>
    <x v="411"/>
    <x v="395"/>
    <x v="2"/>
    <x v="3"/>
    <n v="4"/>
    <n v="4"/>
    <n v="58"/>
    <n v="85"/>
    <n v="2020"/>
    <n v="10096588"/>
    <x v="411"/>
    <x v="6"/>
    <x v="1"/>
    <s v="Installment"/>
    <n v="173"/>
    <n v="72231"/>
    <n v="-7688888"/>
    <n v="28325.882352941175"/>
    <n v="85"/>
    <n v="10096588.761533301"/>
    <n v="2022"/>
    <x v="13"/>
  </r>
  <r>
    <x v="412"/>
    <x v="396"/>
    <x v="1"/>
    <x v="3"/>
    <n v="3"/>
    <n v="4"/>
    <n v="120"/>
    <n v="163"/>
    <n v="2022"/>
    <n v="11066789"/>
    <x v="412"/>
    <x v="3"/>
    <x v="3"/>
    <s v="Pag-IBIG Loan"/>
    <n v="172"/>
    <n v="83403.839999999997"/>
    <n v="-8286661"/>
    <n v="17056"/>
    <n v="163"/>
    <n v="11066789.748786392"/>
    <n v="2021"/>
    <x v="40"/>
  </r>
  <r>
    <x v="413"/>
    <x v="397"/>
    <x v="3"/>
    <x v="0"/>
    <n v="4"/>
    <n v="4"/>
    <n v="131"/>
    <n v="218"/>
    <n v="2018"/>
    <n v="12826681"/>
    <x v="413"/>
    <x v="7"/>
    <x v="1"/>
    <s v="Cash"/>
    <n v="174"/>
    <n v="366538.35"/>
    <n v="-608736"/>
    <n v="93266.755725190844"/>
    <n v="131"/>
    <n v="12826681.047458574"/>
    <n v="2022"/>
    <x v="86"/>
  </r>
  <r>
    <x v="414"/>
    <x v="398"/>
    <x v="1"/>
    <x v="0"/>
    <n v="1"/>
    <n v="1"/>
    <n v="54"/>
    <n v="89"/>
    <n v="2011"/>
    <n v="9200635"/>
    <x v="414"/>
    <x v="1"/>
    <x v="1"/>
    <s v="Installment"/>
    <n v="117"/>
    <n v="366083.16"/>
    <n v="3002137"/>
    <n v="137109.79775280898"/>
    <n v="89"/>
    <n v="9200634.6737032831"/>
    <n v="2019"/>
    <x v="59"/>
  </r>
  <r>
    <x v="415"/>
    <x v="118"/>
    <x v="0"/>
    <x v="0"/>
    <n v="1"/>
    <n v="4"/>
    <n v="190"/>
    <n v="148"/>
    <n v="2019"/>
    <n v="8282352"/>
    <x v="415"/>
    <x v="7"/>
    <x v="2"/>
    <s v="Bank Loan"/>
    <n v="212"/>
    <n v="206082.87"/>
    <n v="-1412923"/>
    <n v="46415.060810810814"/>
    <n v="148"/>
    <n v="8282352.1705944156"/>
    <n v="2019"/>
    <x v="59"/>
  </r>
  <r>
    <x v="416"/>
    <x v="104"/>
    <x v="0"/>
    <x v="2"/>
    <n v="1"/>
    <n v="4"/>
    <n v="46"/>
    <n v="194"/>
    <n v="2010"/>
    <n v="13702320"/>
    <x v="416"/>
    <x v="7"/>
    <x v="3"/>
    <s v="Cash"/>
    <n v="148"/>
    <n v="321952.74"/>
    <n v="-2970562"/>
    <n v="55318.340206185567"/>
    <n v="194"/>
    <n v="13702320.21679263"/>
    <n v="2023"/>
    <x v="66"/>
  </r>
  <r>
    <x v="417"/>
    <x v="399"/>
    <x v="3"/>
    <x v="2"/>
    <n v="3"/>
    <n v="4"/>
    <n v="151"/>
    <n v="176"/>
    <n v="2016"/>
    <n v="8408481"/>
    <x v="417"/>
    <x v="7"/>
    <x v="0"/>
    <s v="Pag-IBIG Loan"/>
    <n v="173"/>
    <n v="168483.44999999998"/>
    <n v="-2792366"/>
    <n v="37192.814569536422"/>
    <n v="151"/>
    <n v="8408481.3320892323"/>
    <n v="2020"/>
    <x v="48"/>
  </r>
  <r>
    <x v="418"/>
    <x v="400"/>
    <x v="2"/>
    <x v="3"/>
    <n v="3"/>
    <n v="2"/>
    <n v="91"/>
    <n v="118"/>
    <n v="2021"/>
    <n v="4432226"/>
    <x v="418"/>
    <x v="0"/>
    <x v="1"/>
    <s v="Installment"/>
    <n v="263"/>
    <n v="75452.099999999991"/>
    <n v="-1917156"/>
    <n v="21314.152542372882"/>
    <n v="118"/>
    <n v="4432226.4325492429"/>
    <n v="2018"/>
    <x v="74"/>
  </r>
  <r>
    <x v="419"/>
    <x v="401"/>
    <x v="3"/>
    <x v="1"/>
    <n v="1"/>
    <n v="1"/>
    <n v="103"/>
    <n v="152"/>
    <n v="2017"/>
    <n v="5986512"/>
    <x v="419"/>
    <x v="6"/>
    <x v="3"/>
    <s v="Pag-IBIG Loan"/>
    <n v="214"/>
    <n v="379167.45"/>
    <n v="6652403"/>
    <n v="122707.91262135922"/>
    <n v="103"/>
    <n v="5986510.8887681169"/>
    <n v="2024"/>
    <x v="76"/>
  </r>
  <r>
    <x v="420"/>
    <x v="402"/>
    <x v="2"/>
    <x v="0"/>
    <n v="2"/>
    <n v="4"/>
    <n v="115"/>
    <n v="149"/>
    <n v="2010"/>
    <n v="4037770"/>
    <x v="420"/>
    <x v="0"/>
    <x v="2"/>
    <s v="Cash"/>
    <n v="178"/>
    <n v="330179.64"/>
    <n v="6968218"/>
    <n v="73865.691275167788"/>
    <n v="149"/>
    <n v="4037768.2742409795"/>
    <n v="2025"/>
    <x v="92"/>
  </r>
  <r>
    <x v="421"/>
    <x v="403"/>
    <x v="1"/>
    <x v="2"/>
    <n v="2"/>
    <n v="2"/>
    <n v="136"/>
    <n v="246"/>
    <n v="2021"/>
    <n v="5644983"/>
    <x v="421"/>
    <x v="1"/>
    <x v="3"/>
    <s v="Installment"/>
    <n v="121"/>
    <n v="322683.69"/>
    <n v="5111140"/>
    <n v="43724.077235772354"/>
    <n v="246"/>
    <n v="5644982.0945694614"/>
    <n v="2025"/>
    <x v="95"/>
  </r>
  <r>
    <x v="422"/>
    <x v="404"/>
    <x v="1"/>
    <x v="0"/>
    <n v="3"/>
    <n v="3"/>
    <n v="82"/>
    <n v="195"/>
    <n v="2020"/>
    <n v="4441960"/>
    <x v="422"/>
    <x v="3"/>
    <x v="2"/>
    <s v="Cash"/>
    <n v="273"/>
    <n v="129380.19"/>
    <n v="-129287"/>
    <n v="22116.271794871795"/>
    <n v="195"/>
    <n v="4441960.0291058449"/>
    <n v="2019"/>
    <x v="78"/>
  </r>
  <r>
    <x v="423"/>
    <x v="405"/>
    <x v="3"/>
    <x v="3"/>
    <n v="1"/>
    <n v="1"/>
    <n v="112"/>
    <n v="100"/>
    <n v="2010"/>
    <n v="2721267"/>
    <x v="423"/>
    <x v="0"/>
    <x v="3"/>
    <s v="Pag-IBIG Loan"/>
    <n v="382"/>
    <n v="193512.87"/>
    <n v="3729162"/>
    <n v="57593.116071428572"/>
    <n v="112"/>
    <n v="2721265.6296228925"/>
    <n v="2023"/>
    <x v="66"/>
  </r>
  <r>
    <x v="424"/>
    <x v="406"/>
    <x v="3"/>
    <x v="0"/>
    <n v="2"/>
    <n v="1"/>
    <n v="67"/>
    <n v="142"/>
    <n v="2010"/>
    <n v="3900081"/>
    <x v="424"/>
    <x v="0"/>
    <x v="0"/>
    <s v="Cash"/>
    <n v="308"/>
    <n v="81069.989999999991"/>
    <n v="-1197748"/>
    <n v="40333.328358208957"/>
    <n v="67"/>
    <n v="3900081.3071084935"/>
    <n v="2019"/>
    <x v="81"/>
  </r>
  <r>
    <x v="425"/>
    <x v="407"/>
    <x v="0"/>
    <x v="3"/>
    <n v="3"/>
    <n v="2"/>
    <n v="63"/>
    <n v="142"/>
    <n v="2013"/>
    <n v="4793399"/>
    <x v="425"/>
    <x v="8"/>
    <x v="1"/>
    <s v="Bank Loan"/>
    <n v="301"/>
    <n v="54119.85"/>
    <n v="-2989404"/>
    <n v="12704.19014084507"/>
    <n v="142"/>
    <n v="4793399.6236501485"/>
    <n v="2023"/>
    <x v="75"/>
  </r>
  <r>
    <x v="426"/>
    <x v="408"/>
    <x v="1"/>
    <x v="3"/>
    <n v="1"/>
    <n v="4"/>
    <n v="91"/>
    <n v="57"/>
    <n v="2022"/>
    <n v="14726811"/>
    <x v="426"/>
    <x v="0"/>
    <x v="2"/>
    <s v="Installment"/>
    <n v="157"/>
    <n v="335091.81"/>
    <n v="-3557084"/>
    <n v="195960.12280701756"/>
    <n v="57"/>
    <n v="14726811.241537968"/>
    <n v="2022"/>
    <x v="15"/>
  </r>
  <r>
    <x v="427"/>
    <x v="409"/>
    <x v="0"/>
    <x v="1"/>
    <n v="2"/>
    <n v="2"/>
    <n v="68"/>
    <n v="127"/>
    <n v="2011"/>
    <n v="13443187"/>
    <x v="427"/>
    <x v="6"/>
    <x v="0"/>
    <s v="Cash"/>
    <n v="262"/>
    <n v="168239.69999999998"/>
    <n v="-7835197"/>
    <n v="44157.401574803152"/>
    <n v="127"/>
    <n v="13443187.58283776"/>
    <n v="2020"/>
    <x v="10"/>
  </r>
  <r>
    <x v="428"/>
    <x v="410"/>
    <x v="3"/>
    <x v="2"/>
    <n v="1"/>
    <n v="3"/>
    <n v="107"/>
    <n v="115"/>
    <n v="2014"/>
    <n v="6522196"/>
    <x v="428"/>
    <x v="1"/>
    <x v="0"/>
    <s v="Pag-IBIG Loan"/>
    <n v="199"/>
    <n v="89961.72"/>
    <n v="-3523472"/>
    <n v="28025.457943925234"/>
    <n v="107"/>
    <n v="6522196.5402278621"/>
    <n v="2019"/>
    <x v="81"/>
  </r>
  <r>
    <x v="429"/>
    <x v="297"/>
    <x v="1"/>
    <x v="1"/>
    <n v="4"/>
    <n v="4"/>
    <n v="116"/>
    <n v="82"/>
    <n v="2012"/>
    <n v="11451733"/>
    <x v="429"/>
    <x v="3"/>
    <x v="0"/>
    <s v="Installment"/>
    <n v="256"/>
    <n v="325219.58999999997"/>
    <n v="-611080"/>
    <n v="132203.08536585365"/>
    <n v="82"/>
    <n v="11451733.053361356"/>
    <n v="2023"/>
    <x v="66"/>
  </r>
  <r>
    <x v="430"/>
    <x v="381"/>
    <x v="3"/>
    <x v="0"/>
    <n v="1"/>
    <n v="1"/>
    <n v="67"/>
    <n v="214"/>
    <n v="2020"/>
    <n v="6537320"/>
    <x v="430"/>
    <x v="4"/>
    <x v="3"/>
    <s v="Cash"/>
    <n v="228"/>
    <n v="177297.57"/>
    <n v="-627401"/>
    <n v="88207.746268656716"/>
    <n v="67"/>
    <n v="6537320.0959722027"/>
    <n v="2023"/>
    <x v="93"/>
  </r>
  <r>
    <x v="431"/>
    <x v="411"/>
    <x v="0"/>
    <x v="0"/>
    <n v="3"/>
    <n v="3"/>
    <n v="156"/>
    <n v="54"/>
    <n v="2012"/>
    <n v="6084234"/>
    <x v="431"/>
    <x v="8"/>
    <x v="0"/>
    <s v="Cash"/>
    <n v="340"/>
    <n v="361761.24"/>
    <n v="5974474"/>
    <n v="223309.40740740742"/>
    <n v="54"/>
    <n v="6084233.0180400684"/>
    <n v="2019"/>
    <x v="80"/>
  </r>
  <r>
    <x v="432"/>
    <x v="412"/>
    <x v="0"/>
    <x v="1"/>
    <n v="1"/>
    <n v="3"/>
    <n v="54"/>
    <n v="190"/>
    <n v="2023"/>
    <n v="2829939"/>
    <x v="432"/>
    <x v="1"/>
    <x v="2"/>
    <s v="Pag-IBIG Loan"/>
    <n v="371"/>
    <n v="132616.01999999999"/>
    <n v="1590595"/>
    <n v="23265.968421052632"/>
    <n v="190"/>
    <n v="2829938.4379401817"/>
    <n v="2025"/>
    <x v="7"/>
  </r>
  <r>
    <x v="433"/>
    <x v="413"/>
    <x v="0"/>
    <x v="1"/>
    <n v="1"/>
    <n v="1"/>
    <n v="98"/>
    <n v="69"/>
    <n v="2020"/>
    <n v="2770529"/>
    <x v="433"/>
    <x v="2"/>
    <x v="3"/>
    <s v="Pag-IBIG Loan"/>
    <n v="373"/>
    <n v="342448.41"/>
    <n v="8644418"/>
    <n v="165434.01449275363"/>
    <n v="69"/>
    <n v="2770525.8798673465"/>
    <n v="2022"/>
    <x v="79"/>
  </r>
  <r>
    <x v="434"/>
    <x v="414"/>
    <x v="1"/>
    <x v="1"/>
    <n v="3"/>
    <n v="4"/>
    <n v="168"/>
    <n v="92"/>
    <n v="2013"/>
    <n v="13828321"/>
    <x v="434"/>
    <x v="3"/>
    <x v="1"/>
    <s v="Cash"/>
    <n v="298"/>
    <n v="88048.95"/>
    <n v="-10893356"/>
    <n v="31901.793478260868"/>
    <n v="92"/>
    <n v="13828321.787756952"/>
    <n v="2018"/>
    <x v="30"/>
  </r>
  <r>
    <x v="435"/>
    <x v="415"/>
    <x v="2"/>
    <x v="2"/>
    <n v="1"/>
    <n v="1"/>
    <n v="59"/>
    <n v="107"/>
    <n v="2014"/>
    <n v="8097341"/>
    <x v="435"/>
    <x v="5"/>
    <x v="2"/>
    <s v="Cash"/>
    <n v="171"/>
    <n v="237147.84"/>
    <n v="-192413"/>
    <n v="73877.831775700935"/>
    <n v="107"/>
    <n v="8097341.0237624915"/>
    <n v="2025"/>
    <x v="24"/>
  </r>
  <r>
    <x v="436"/>
    <x v="416"/>
    <x v="2"/>
    <x v="0"/>
    <n v="3"/>
    <n v="2"/>
    <n v="69"/>
    <n v="125"/>
    <n v="2014"/>
    <n v="7927346"/>
    <x v="436"/>
    <x v="4"/>
    <x v="3"/>
    <s v="Bank Loan"/>
    <n v="218"/>
    <n v="385583.04"/>
    <n v="4925422"/>
    <n v="102822.144"/>
    <n v="125"/>
    <n v="7927345.3786795735"/>
    <n v="2024"/>
    <x v="73"/>
  </r>
  <r>
    <x v="437"/>
    <x v="417"/>
    <x v="2"/>
    <x v="0"/>
    <n v="3"/>
    <n v="3"/>
    <n v="121"/>
    <n v="168"/>
    <n v="2016"/>
    <n v="11002221"/>
    <x v="437"/>
    <x v="1"/>
    <x v="0"/>
    <s v="Installment"/>
    <n v="147"/>
    <n v="388843.23"/>
    <n v="1959220"/>
    <n v="77151.434523809527"/>
    <n v="168"/>
    <n v="11002220.821925046"/>
    <n v="2025"/>
    <x v="44"/>
  </r>
  <r>
    <x v="438"/>
    <x v="235"/>
    <x v="3"/>
    <x v="0"/>
    <n v="3"/>
    <n v="4"/>
    <n v="165"/>
    <n v="104"/>
    <n v="2013"/>
    <n v="8746701"/>
    <x v="438"/>
    <x v="6"/>
    <x v="2"/>
    <s v="Cash"/>
    <n v="207"/>
    <n v="132989.79"/>
    <n v="-4313708"/>
    <n v="26866.624242424241"/>
    <n v="165"/>
    <n v="8746701.493181143"/>
    <n v="2023"/>
    <x v="64"/>
  </r>
  <r>
    <x v="439"/>
    <x v="302"/>
    <x v="2"/>
    <x v="3"/>
    <n v="2"/>
    <n v="4"/>
    <n v="66"/>
    <n v="63"/>
    <n v="2022"/>
    <n v="10561671"/>
    <x v="439"/>
    <x v="5"/>
    <x v="0"/>
    <s v="Installment"/>
    <n v="342"/>
    <n v="255068.69999999998"/>
    <n v="-2059381"/>
    <n v="134956.98412698411"/>
    <n v="63"/>
    <n v="10561671.194986286"/>
    <n v="2026"/>
    <x v="52"/>
  </r>
  <r>
    <x v="440"/>
    <x v="418"/>
    <x v="2"/>
    <x v="3"/>
    <n v="4"/>
    <n v="4"/>
    <n v="145"/>
    <n v="114"/>
    <n v="2019"/>
    <n v="13921078"/>
    <x v="440"/>
    <x v="8"/>
    <x v="2"/>
    <s v="Installment"/>
    <n v="295"/>
    <n v="366025.23"/>
    <n v="-1720237"/>
    <n v="107024.92105263157"/>
    <n v="114"/>
    <n v="13921078.123570675"/>
    <n v="2019"/>
    <x v="71"/>
  </r>
  <r>
    <x v="441"/>
    <x v="419"/>
    <x v="2"/>
    <x v="1"/>
    <n v="3"/>
    <n v="3"/>
    <n v="137"/>
    <n v="193"/>
    <n v="2010"/>
    <n v="2258989"/>
    <x v="441"/>
    <x v="5"/>
    <x v="3"/>
    <s v="Installment"/>
    <n v="156"/>
    <n v="114602.58"/>
    <n v="1561097"/>
    <n v="19793.191709844559"/>
    <n v="193"/>
    <n v="2258988.3089399729"/>
    <n v="2020"/>
    <x v="10"/>
  </r>
  <r>
    <x v="442"/>
    <x v="420"/>
    <x v="0"/>
    <x v="3"/>
    <n v="4"/>
    <n v="4"/>
    <n v="77"/>
    <n v="181"/>
    <n v="2019"/>
    <n v="10664542"/>
    <x v="442"/>
    <x v="8"/>
    <x v="0"/>
    <s v="Installment"/>
    <n v="122"/>
    <n v="176697.60000000001"/>
    <n v="-4774622"/>
    <n v="32540.994475138123"/>
    <n v="181"/>
    <n v="10664542.447709991"/>
    <n v="2020"/>
    <x v="63"/>
  </r>
  <r>
    <x v="443"/>
    <x v="421"/>
    <x v="3"/>
    <x v="0"/>
    <n v="1"/>
    <n v="2"/>
    <n v="53"/>
    <n v="233"/>
    <n v="2023"/>
    <n v="7729432"/>
    <x v="443"/>
    <x v="4"/>
    <x v="0"/>
    <s v="Pag-IBIG Loan"/>
    <n v="221"/>
    <n v="159334.65"/>
    <n v="-2418277"/>
    <n v="100210.47169811321"/>
    <n v="53"/>
    <n v="7729432.3128660684"/>
    <n v="2023"/>
    <x v="6"/>
  </r>
  <r>
    <x v="444"/>
    <x v="422"/>
    <x v="3"/>
    <x v="2"/>
    <n v="1"/>
    <n v="4"/>
    <n v="111"/>
    <n v="224"/>
    <n v="2010"/>
    <n v="5974471"/>
    <x v="444"/>
    <x v="2"/>
    <x v="0"/>
    <s v="Installment"/>
    <n v="203"/>
    <n v="117546.06"/>
    <n v="-2056269"/>
    <n v="35299.117117117115"/>
    <n v="111"/>
    <n v="5974471.3441759115"/>
    <n v="2024"/>
    <x v="77"/>
  </r>
  <r>
    <x v="445"/>
    <x v="423"/>
    <x v="2"/>
    <x v="0"/>
    <n v="1"/>
    <n v="1"/>
    <n v="116"/>
    <n v="223"/>
    <n v="2013"/>
    <n v="9313958"/>
    <x v="445"/>
    <x v="5"/>
    <x v="2"/>
    <s v="Bank Loan"/>
    <n v="275"/>
    <n v="247970.58"/>
    <n v="-1048272"/>
    <n v="37065.856502242154"/>
    <n v="223"/>
    <n v="9313958.1125485003"/>
    <n v="2021"/>
    <x v="69"/>
  </r>
  <r>
    <x v="446"/>
    <x v="424"/>
    <x v="1"/>
    <x v="3"/>
    <n v="2"/>
    <n v="1"/>
    <n v="198"/>
    <n v="193"/>
    <n v="2012"/>
    <n v="12450823"/>
    <x v="446"/>
    <x v="4"/>
    <x v="1"/>
    <s v="Installment"/>
    <n v="324"/>
    <n v="200495.31"/>
    <n v="-5767646"/>
    <n v="34627.860103626947"/>
    <n v="193"/>
    <n v="12450823.463234117"/>
    <n v="2021"/>
    <x v="88"/>
  </r>
  <r>
    <x v="447"/>
    <x v="425"/>
    <x v="0"/>
    <x v="1"/>
    <n v="2"/>
    <n v="1"/>
    <n v="177"/>
    <n v="74"/>
    <n v="2010"/>
    <n v="13817796"/>
    <x v="447"/>
    <x v="0"/>
    <x v="0"/>
    <s v="Pag-IBIG Loan"/>
    <n v="179"/>
    <n v="333495.69"/>
    <n v="-2701273"/>
    <n v="150223.28378378379"/>
    <n v="74"/>
    <n v="13817796.19549232"/>
    <n v="2021"/>
    <x v="9"/>
  </r>
  <r>
    <x v="448"/>
    <x v="426"/>
    <x v="0"/>
    <x v="0"/>
    <n v="1"/>
    <n v="2"/>
    <n v="199"/>
    <n v="89"/>
    <n v="2010"/>
    <n v="5025488"/>
    <x v="448"/>
    <x v="3"/>
    <x v="3"/>
    <s v="Cash"/>
    <n v="277"/>
    <n v="198039.27"/>
    <n v="1575821"/>
    <n v="74172.011235955055"/>
    <n v="89"/>
    <n v="5025487.6864342326"/>
    <n v="2025"/>
    <x v="65"/>
  </r>
  <r>
    <x v="449"/>
    <x v="427"/>
    <x v="0"/>
    <x v="3"/>
    <n v="3"/>
    <n v="2"/>
    <n v="100"/>
    <n v="250"/>
    <n v="2020"/>
    <n v="6114504"/>
    <x v="449"/>
    <x v="7"/>
    <x v="3"/>
    <s v="Bank Loan"/>
    <n v="260"/>
    <n v="365839.98"/>
    <n v="6080162"/>
    <n v="48778.663999999997"/>
    <n v="250"/>
    <n v="6114503.0056164814"/>
    <n v="2025"/>
    <x v="95"/>
  </r>
  <r>
    <x v="450"/>
    <x v="263"/>
    <x v="3"/>
    <x v="0"/>
    <n v="3"/>
    <n v="2"/>
    <n v="95"/>
    <n v="147"/>
    <n v="2016"/>
    <n v="2475810"/>
    <x v="450"/>
    <x v="4"/>
    <x v="3"/>
    <s v="Cash"/>
    <n v="238"/>
    <n v="192717.27"/>
    <n v="3948099"/>
    <n v="67620.094736842104"/>
    <n v="95"/>
    <n v="2475808.4053303767"/>
    <n v="2022"/>
    <x v="13"/>
  </r>
  <r>
    <x v="451"/>
    <x v="428"/>
    <x v="2"/>
    <x v="0"/>
    <n v="1"/>
    <n v="4"/>
    <n v="63"/>
    <n v="87"/>
    <n v="2014"/>
    <n v="2112123"/>
    <x v="451"/>
    <x v="0"/>
    <x v="2"/>
    <s v="Bank Loan"/>
    <n v="148"/>
    <n v="62852.7"/>
    <n v="-17033"/>
    <n v="24081.494252873563"/>
    <n v="87"/>
    <n v="2112123.0080643976"/>
    <n v="2020"/>
    <x v="96"/>
  </r>
  <r>
    <x v="452"/>
    <x v="429"/>
    <x v="1"/>
    <x v="0"/>
    <n v="2"/>
    <n v="2"/>
    <n v="190"/>
    <n v="83"/>
    <n v="2019"/>
    <n v="8130298"/>
    <x v="452"/>
    <x v="7"/>
    <x v="0"/>
    <s v="Bank Loan"/>
    <n v="197"/>
    <n v="347326.64999999997"/>
    <n v="3447257"/>
    <n v="139488.61445783134"/>
    <n v="83"/>
    <n v="8130297.57599869"/>
    <n v="2023"/>
    <x v="91"/>
  </r>
  <r>
    <x v="453"/>
    <x v="430"/>
    <x v="1"/>
    <x v="2"/>
    <n v="3"/>
    <n v="4"/>
    <n v="139"/>
    <n v="86"/>
    <n v="2011"/>
    <n v="9067179"/>
    <x v="453"/>
    <x v="0"/>
    <x v="3"/>
    <s v="Bank Loan"/>
    <n v="194"/>
    <n v="284402.31"/>
    <n v="412898"/>
    <n v="110233.45348837209"/>
    <n v="86"/>
    <n v="9067178.9544623531"/>
    <n v="2021"/>
    <x v="94"/>
  </r>
  <r>
    <x v="454"/>
    <x v="431"/>
    <x v="1"/>
    <x v="2"/>
    <n v="4"/>
    <n v="2"/>
    <n v="153"/>
    <n v="216"/>
    <n v="2016"/>
    <n v="4467091"/>
    <x v="454"/>
    <x v="6"/>
    <x v="3"/>
    <s v="Pag-IBIG Loan"/>
    <n v="135"/>
    <n v="184957.05"/>
    <n v="1698144"/>
    <n v="28542.754629629631"/>
    <n v="216"/>
    <n v="4467090.6198546216"/>
    <n v="2018"/>
    <x v="43"/>
  </r>
  <r>
    <x v="455"/>
    <x v="432"/>
    <x v="2"/>
    <x v="2"/>
    <n v="4"/>
    <n v="3"/>
    <n v="125"/>
    <n v="79"/>
    <n v="2015"/>
    <n v="11174087"/>
    <x v="455"/>
    <x v="0"/>
    <x v="2"/>
    <s v="Pag-IBIG Loan"/>
    <n v="345"/>
    <n v="167599.13999999998"/>
    <n v="-5587449"/>
    <n v="70716.936708860754"/>
    <n v="79"/>
    <n v="11174087.50003629"/>
    <n v="2018"/>
    <x v="16"/>
  </r>
  <r>
    <x v="456"/>
    <x v="433"/>
    <x v="2"/>
    <x v="3"/>
    <n v="4"/>
    <n v="1"/>
    <n v="163"/>
    <n v="224"/>
    <n v="2021"/>
    <n v="8623872"/>
    <x v="456"/>
    <x v="0"/>
    <x v="0"/>
    <s v="Bank Loan"/>
    <n v="204"/>
    <n v="82164.509999999995"/>
    <n v="-5885055"/>
    <n v="12226.861607142857"/>
    <n v="224"/>
    <n v="8623872.6824144647"/>
    <n v="2022"/>
    <x v="23"/>
  </r>
  <r>
    <x v="457"/>
    <x v="434"/>
    <x v="2"/>
    <x v="3"/>
    <n v="1"/>
    <n v="4"/>
    <n v="90"/>
    <n v="228"/>
    <n v="2010"/>
    <n v="12284144"/>
    <x v="457"/>
    <x v="2"/>
    <x v="1"/>
    <s v="Pag-IBIG Loan"/>
    <n v="287"/>
    <n v="264731.88"/>
    <n v="-3459748"/>
    <n v="38703.491228070176"/>
    <n v="228"/>
    <n v="12284144.281643393"/>
    <n v="2023"/>
    <x v="97"/>
  </r>
  <r>
    <x v="458"/>
    <x v="435"/>
    <x v="2"/>
    <x v="1"/>
    <n v="4"/>
    <n v="2"/>
    <n v="164"/>
    <n v="239"/>
    <n v="2022"/>
    <n v="5106828"/>
    <x v="458"/>
    <x v="5"/>
    <x v="2"/>
    <s v="Installment"/>
    <n v="101"/>
    <n v="339136.58999999997"/>
    <n v="6197725"/>
    <n v="47299.384937238494"/>
    <n v="239"/>
    <n v="5106826.7863846207"/>
    <n v="2021"/>
    <x v="29"/>
  </r>
  <r>
    <x v="459"/>
    <x v="436"/>
    <x v="0"/>
    <x v="3"/>
    <n v="3"/>
    <n v="1"/>
    <n v="129"/>
    <n v="115"/>
    <n v="2017"/>
    <n v="10027986"/>
    <x v="459"/>
    <x v="4"/>
    <x v="3"/>
    <s v="Cash"/>
    <n v="349"/>
    <n v="378030.81"/>
    <n v="2573041"/>
    <n v="109574.14782608696"/>
    <n v="115"/>
    <n v="10027985.743413981"/>
    <n v="2021"/>
    <x v="53"/>
  </r>
  <r>
    <x v="460"/>
    <x v="437"/>
    <x v="2"/>
    <x v="0"/>
    <n v="1"/>
    <n v="4"/>
    <n v="142"/>
    <n v="179"/>
    <n v="2014"/>
    <n v="4659546"/>
    <x v="460"/>
    <x v="0"/>
    <x v="0"/>
    <s v="Installment"/>
    <n v="399"/>
    <n v="213398.91"/>
    <n v="2453751"/>
    <n v="39739.089385474857"/>
    <n v="179"/>
    <n v="4659545.4733926868"/>
    <n v="2020"/>
    <x v="34"/>
  </r>
  <r>
    <x v="461"/>
    <x v="438"/>
    <x v="1"/>
    <x v="0"/>
    <n v="1"/>
    <n v="1"/>
    <n v="177"/>
    <n v="53"/>
    <n v="2020"/>
    <n v="2642349"/>
    <x v="461"/>
    <x v="7"/>
    <x v="3"/>
    <s v="Pag-IBIG Loan"/>
    <n v="283"/>
    <n v="223592.25"/>
    <n v="4810726"/>
    <n v="140624.05660377358"/>
    <n v="53"/>
    <n v="2642347.1793752452"/>
    <n v="2018"/>
    <x v="67"/>
  </r>
  <r>
    <x v="462"/>
    <x v="439"/>
    <x v="0"/>
    <x v="0"/>
    <n v="3"/>
    <n v="3"/>
    <n v="135"/>
    <n v="202"/>
    <n v="2018"/>
    <n v="10237790"/>
    <x v="462"/>
    <x v="5"/>
    <x v="3"/>
    <s v="Installment"/>
    <n v="360"/>
    <n v="281086.95"/>
    <n v="-868225"/>
    <n v="46383.985148514854"/>
    <n v="202"/>
    <n v="10237790.0848059"/>
    <n v="2025"/>
    <x v="7"/>
  </r>
  <r>
    <x v="463"/>
    <x v="440"/>
    <x v="1"/>
    <x v="0"/>
    <n v="3"/>
    <n v="2"/>
    <n v="139"/>
    <n v="216"/>
    <n v="2010"/>
    <n v="9881580"/>
    <x v="463"/>
    <x v="6"/>
    <x v="2"/>
    <s v="Bank Loan"/>
    <n v="322"/>
    <n v="362322.02999999997"/>
    <n v="2195821"/>
    <n v="55913.893518518518"/>
    <n v="216"/>
    <n v="9881579.7777864467"/>
    <n v="2025"/>
    <x v="58"/>
  </r>
  <r>
    <x v="464"/>
    <x v="441"/>
    <x v="1"/>
    <x v="1"/>
    <n v="2"/>
    <n v="2"/>
    <n v="100"/>
    <n v="155"/>
    <n v="2012"/>
    <n v="13959764"/>
    <x v="464"/>
    <x v="8"/>
    <x v="3"/>
    <s v="Bank Loan"/>
    <n v="227"/>
    <n v="387449.79"/>
    <n v="-1044771"/>
    <n v="83322.535483870961"/>
    <n v="155"/>
    <n v="13959764.074841594"/>
    <n v="2019"/>
    <x v="78"/>
  </r>
  <r>
    <x v="465"/>
    <x v="442"/>
    <x v="1"/>
    <x v="2"/>
    <n v="2"/>
    <n v="4"/>
    <n v="115"/>
    <n v="98"/>
    <n v="2023"/>
    <n v="5383621"/>
    <x v="465"/>
    <x v="4"/>
    <x v="3"/>
    <s v="Pag-IBIG Loan"/>
    <n v="128"/>
    <n v="63758.46"/>
    <n v="-3258339"/>
    <n v="21686.551020408162"/>
    <n v="98"/>
    <n v="5383621.605231869"/>
    <n v="2018"/>
    <x v="36"/>
  </r>
  <r>
    <x v="466"/>
    <x v="443"/>
    <x v="0"/>
    <x v="0"/>
    <n v="4"/>
    <n v="4"/>
    <n v="127"/>
    <n v="125"/>
    <n v="2023"/>
    <n v="3035438"/>
    <x v="466"/>
    <x v="8"/>
    <x v="1"/>
    <s v="Bank Loan"/>
    <n v="369"/>
    <n v="310270.98"/>
    <n v="7306928"/>
    <n v="82738.928"/>
    <n v="125"/>
    <n v="3035435.5927928686"/>
    <n v="2025"/>
    <x v="92"/>
  </r>
  <r>
    <x v="467"/>
    <x v="444"/>
    <x v="1"/>
    <x v="0"/>
    <n v="3"/>
    <n v="2"/>
    <n v="89"/>
    <n v="239"/>
    <n v="2013"/>
    <n v="9527840"/>
    <x v="467"/>
    <x v="2"/>
    <x v="0"/>
    <s v="Installment"/>
    <n v="230"/>
    <n v="314294.61"/>
    <n v="948647"/>
    <n v="43834.673640167362"/>
    <n v="239"/>
    <n v="9527839.9004342016"/>
    <n v="2021"/>
    <x v="94"/>
  </r>
  <r>
    <x v="468"/>
    <x v="445"/>
    <x v="3"/>
    <x v="3"/>
    <n v="2"/>
    <n v="1"/>
    <n v="196"/>
    <n v="123"/>
    <n v="2017"/>
    <n v="7982632"/>
    <x v="468"/>
    <x v="4"/>
    <x v="3"/>
    <s v="Installment"/>
    <n v="231"/>
    <n v="198072.72"/>
    <n v="-1380208"/>
    <n v="33685.836734693876"/>
    <n v="196"/>
    <n v="7982632.1729013687"/>
    <n v="2025"/>
    <x v="65"/>
  </r>
  <r>
    <x v="469"/>
    <x v="446"/>
    <x v="0"/>
    <x v="1"/>
    <n v="3"/>
    <n v="2"/>
    <n v="183"/>
    <n v="108"/>
    <n v="2018"/>
    <n v="2870855"/>
    <x v="469"/>
    <x v="8"/>
    <x v="2"/>
    <s v="Bank Loan"/>
    <n v="115"/>
    <n v="57114.09"/>
    <n v="-967052"/>
    <n v="17627.805555555555"/>
    <n v="108"/>
    <n v="2870855.3368515652"/>
    <n v="2022"/>
    <x v="46"/>
  </r>
  <r>
    <x v="470"/>
    <x v="447"/>
    <x v="0"/>
    <x v="1"/>
    <n v="2"/>
    <n v="2"/>
    <n v="162"/>
    <n v="225"/>
    <n v="2019"/>
    <n v="13732770"/>
    <x v="470"/>
    <x v="1"/>
    <x v="0"/>
    <s v="Installment"/>
    <n v="145"/>
    <n v="141565.32"/>
    <n v="-9013926"/>
    <n v="20972.639999999999"/>
    <n v="225"/>
    <n v="13732770.65638076"/>
    <n v="2023"/>
    <x v="2"/>
  </r>
  <r>
    <x v="471"/>
    <x v="448"/>
    <x v="0"/>
    <x v="2"/>
    <n v="3"/>
    <n v="1"/>
    <n v="63"/>
    <n v="142"/>
    <n v="2022"/>
    <n v="5377583"/>
    <x v="471"/>
    <x v="8"/>
    <x v="0"/>
    <s v="Pag-IBIG Loan"/>
    <n v="221"/>
    <n v="181628.34"/>
    <n v="676695"/>
    <n v="42635.760563380281"/>
    <n v="142"/>
    <n v="5377582.8741637273"/>
    <n v="2020"/>
    <x v="61"/>
  </r>
  <r>
    <x v="472"/>
    <x v="449"/>
    <x v="0"/>
    <x v="3"/>
    <n v="4"/>
    <n v="4"/>
    <n v="58"/>
    <n v="182"/>
    <n v="2020"/>
    <n v="14787653"/>
    <x v="472"/>
    <x v="2"/>
    <x v="3"/>
    <s v="Pag-IBIG Loan"/>
    <n v="363"/>
    <n v="194325.24"/>
    <n v="-8310145"/>
    <n v="35590.703296703294"/>
    <n v="182"/>
    <n v="14787653.561965106"/>
    <n v="2022"/>
    <x v="86"/>
  </r>
  <r>
    <x v="473"/>
    <x v="302"/>
    <x v="0"/>
    <x v="3"/>
    <n v="2"/>
    <n v="4"/>
    <n v="144"/>
    <n v="167"/>
    <n v="2017"/>
    <n v="8460297"/>
    <x v="473"/>
    <x v="3"/>
    <x v="2"/>
    <s v="Cash"/>
    <n v="287"/>
    <n v="124929.84"/>
    <n v="-4295969"/>
    <n v="24936.095808383234"/>
    <n v="167"/>
    <n v="8460297.5077799279"/>
    <n v="2026"/>
    <x v="52"/>
  </r>
  <r>
    <x v="474"/>
    <x v="450"/>
    <x v="1"/>
    <x v="0"/>
    <n v="1"/>
    <n v="3"/>
    <n v="186"/>
    <n v="234"/>
    <n v="2016"/>
    <n v="11635524"/>
    <x v="474"/>
    <x v="1"/>
    <x v="2"/>
    <s v="Pag-IBIG Loan"/>
    <n v="295"/>
    <n v="227883.99"/>
    <n v="-4039391"/>
    <n v="32462.106837606836"/>
    <n v="234"/>
    <n v="11635524.347160215"/>
    <n v="2024"/>
    <x v="82"/>
  </r>
  <r>
    <x v="475"/>
    <x v="451"/>
    <x v="3"/>
    <x v="0"/>
    <n v="1"/>
    <n v="1"/>
    <n v="200"/>
    <n v="122"/>
    <n v="2019"/>
    <n v="13679837"/>
    <x v="475"/>
    <x v="0"/>
    <x v="0"/>
    <s v="Cash"/>
    <n v="171"/>
    <n v="384098.45999999996"/>
    <n v="-876555"/>
    <n v="64016.41"/>
    <n v="200"/>
    <n v="13679837.064076422"/>
    <n v="2022"/>
    <x v="79"/>
  </r>
  <r>
    <x v="476"/>
    <x v="452"/>
    <x v="2"/>
    <x v="0"/>
    <n v="3"/>
    <n v="1"/>
    <n v="144"/>
    <n v="55"/>
    <n v="2020"/>
    <n v="5853516"/>
    <x v="476"/>
    <x v="1"/>
    <x v="3"/>
    <s v="Cash"/>
    <n v="148"/>
    <n v="368460.81"/>
    <n v="6428511"/>
    <n v="223309.58181818182"/>
    <n v="55"/>
    <n v="5853514.9017692953"/>
    <n v="2024"/>
    <x v="73"/>
  </r>
  <r>
    <x v="477"/>
    <x v="287"/>
    <x v="1"/>
    <x v="2"/>
    <n v="4"/>
    <n v="4"/>
    <n v="54"/>
    <n v="208"/>
    <n v="2012"/>
    <n v="12750471"/>
    <x v="477"/>
    <x v="3"/>
    <x v="2"/>
    <s v="Pag-IBIG Loan"/>
    <n v="247"/>
    <n v="80413.95"/>
    <n v="-10070006"/>
    <n v="12886.850961538461"/>
    <n v="208"/>
    <n v="12750471.789775217"/>
    <n v="2021"/>
    <x v="84"/>
  </r>
  <r>
    <x v="478"/>
    <x v="453"/>
    <x v="2"/>
    <x v="1"/>
    <n v="1"/>
    <n v="3"/>
    <n v="44"/>
    <n v="248"/>
    <n v="2019"/>
    <n v="3953108"/>
    <x v="478"/>
    <x v="8"/>
    <x v="3"/>
    <s v="Installment"/>
    <n v="152"/>
    <n v="294143.31"/>
    <n v="5851669"/>
    <n v="39535.391129032258"/>
    <n v="248"/>
    <n v="3953106.5197295393"/>
    <n v="2018"/>
    <x v="38"/>
  </r>
  <r>
    <x v="479"/>
    <x v="454"/>
    <x v="2"/>
    <x v="1"/>
    <n v="1"/>
    <n v="2"/>
    <n v="165"/>
    <n v="124"/>
    <n v="2023"/>
    <n v="5349612"/>
    <x v="479"/>
    <x v="1"/>
    <x v="1"/>
    <s v="Bank Loan"/>
    <n v="112"/>
    <n v="59714.909999999996"/>
    <n v="-3359115"/>
    <n v="16052.395161290322"/>
    <n v="124"/>
    <n v="5349612.6279175011"/>
    <n v="2023"/>
    <x v="0"/>
  </r>
  <r>
    <x v="480"/>
    <x v="455"/>
    <x v="0"/>
    <x v="3"/>
    <n v="3"/>
    <n v="1"/>
    <n v="75"/>
    <n v="60"/>
    <n v="2022"/>
    <n v="6952443"/>
    <x v="480"/>
    <x v="2"/>
    <x v="2"/>
    <s v="Cash"/>
    <n v="229"/>
    <n v="331631.37"/>
    <n v="4101936"/>
    <n v="184239.65"/>
    <n v="60"/>
    <n v="6952442.4100007722"/>
    <n v="2018"/>
    <x v="16"/>
  </r>
  <r>
    <x v="481"/>
    <x v="456"/>
    <x v="1"/>
    <x v="0"/>
    <n v="4"/>
    <n v="4"/>
    <n v="193"/>
    <n v="147"/>
    <n v="2014"/>
    <n v="12933628"/>
    <x v="481"/>
    <x v="1"/>
    <x v="3"/>
    <s v="Pag-IBIG Loan"/>
    <n v="358"/>
    <n v="376678.17"/>
    <n v="-377689"/>
    <n v="85414.551020408166"/>
    <n v="147"/>
    <n v="12933628.029202092"/>
    <n v="2019"/>
    <x v="47"/>
  </r>
  <r>
    <x v="482"/>
    <x v="457"/>
    <x v="3"/>
    <x v="1"/>
    <n v="2"/>
    <n v="2"/>
    <n v="129"/>
    <n v="185"/>
    <n v="2023"/>
    <n v="4044044"/>
    <x v="482"/>
    <x v="5"/>
    <x v="3"/>
    <s v="Pag-IBIG Loan"/>
    <n v="367"/>
    <n v="48454.38"/>
    <n v="-2428898"/>
    <n v="12520.511627906977"/>
    <n v="129"/>
    <n v="4044044.6006111703"/>
    <n v="2024"/>
    <x v="31"/>
  </r>
  <r>
    <x v="483"/>
    <x v="458"/>
    <x v="0"/>
    <x v="0"/>
    <n v="3"/>
    <n v="1"/>
    <n v="86"/>
    <n v="102"/>
    <n v="2021"/>
    <n v="8949002"/>
    <x v="483"/>
    <x v="2"/>
    <x v="2"/>
    <s v="Installment"/>
    <n v="259"/>
    <n v="141264.03"/>
    <n v="-4240201"/>
    <n v="46164.715686274511"/>
    <n v="102"/>
    <n v="8949002.4738183096"/>
    <n v="2019"/>
    <x v="45"/>
  </r>
  <r>
    <x v="484"/>
    <x v="459"/>
    <x v="0"/>
    <x v="0"/>
    <n v="1"/>
    <n v="2"/>
    <n v="90"/>
    <n v="206"/>
    <n v="2011"/>
    <n v="13280996"/>
    <x v="484"/>
    <x v="0"/>
    <x v="2"/>
    <s v="Installment"/>
    <n v="253"/>
    <n v="130676.22"/>
    <n v="-8925122"/>
    <n v="21145.019417475727"/>
    <n v="206"/>
    <n v="13280996.672022037"/>
    <n v="2018"/>
    <x v="33"/>
  </r>
  <r>
    <x v="485"/>
    <x v="460"/>
    <x v="2"/>
    <x v="1"/>
    <n v="1"/>
    <n v="1"/>
    <n v="120"/>
    <n v="99"/>
    <n v="2013"/>
    <n v="2246000"/>
    <x v="485"/>
    <x v="5"/>
    <x v="1"/>
    <s v="Pag-IBIG Loan"/>
    <n v="363"/>
    <n v="64976.49"/>
    <n v="-80117"/>
    <n v="21877.60606060606"/>
    <n v="99"/>
    <n v="2246000.0356709706"/>
    <n v="2018"/>
    <x v="30"/>
  </r>
  <r>
    <x v="486"/>
    <x v="461"/>
    <x v="1"/>
    <x v="3"/>
    <n v="2"/>
    <n v="2"/>
    <n v="67"/>
    <n v="111"/>
    <n v="2015"/>
    <n v="14383124"/>
    <x v="486"/>
    <x v="6"/>
    <x v="2"/>
    <s v="Bank Loan"/>
    <n v="229"/>
    <n v="79785"/>
    <n v="-11723624"/>
    <n v="23959.45945945946"/>
    <n v="111"/>
    <n v="14383124.815095803"/>
    <n v="2020"/>
    <x v="72"/>
  </r>
  <r>
    <x v="487"/>
    <x v="462"/>
    <x v="1"/>
    <x v="3"/>
    <n v="1"/>
    <n v="4"/>
    <n v="60"/>
    <n v="165"/>
    <n v="2020"/>
    <n v="5361588"/>
    <x v="487"/>
    <x v="8"/>
    <x v="1"/>
    <s v="Cash"/>
    <n v="200"/>
    <n v="355824.57"/>
    <n v="6499231"/>
    <n v="71883.751515151511"/>
    <n v="165"/>
    <n v="5361586.7878160356"/>
    <n v="2025"/>
    <x v="98"/>
  </r>
  <r>
    <x v="488"/>
    <x v="463"/>
    <x v="1"/>
    <x v="3"/>
    <n v="1"/>
    <n v="1"/>
    <n v="164"/>
    <n v="166"/>
    <n v="2013"/>
    <n v="7430177"/>
    <x v="488"/>
    <x v="7"/>
    <x v="0"/>
    <s v="Bank Loan"/>
    <n v="159"/>
    <n v="375965.49"/>
    <n v="5102006"/>
    <n v="75495.078313253005"/>
    <n v="166"/>
    <n v="7430176.3133399114"/>
    <n v="2019"/>
    <x v="26"/>
  </r>
  <r>
    <x v="489"/>
    <x v="464"/>
    <x v="3"/>
    <x v="1"/>
    <n v="3"/>
    <n v="1"/>
    <n v="52"/>
    <n v="96"/>
    <n v="2017"/>
    <n v="12142907"/>
    <x v="489"/>
    <x v="0"/>
    <x v="0"/>
    <s v="Bank Loan"/>
    <n v="328"/>
    <n v="360165.66"/>
    <n v="-137385"/>
    <n v="230875.42307692306"/>
    <n v="52"/>
    <n v="12142907.011314012"/>
    <n v="2024"/>
    <x v="12"/>
  </r>
  <r>
    <x v="490"/>
    <x v="465"/>
    <x v="3"/>
    <x v="3"/>
    <n v="4"/>
    <n v="2"/>
    <n v="125"/>
    <n v="92"/>
    <n v="2017"/>
    <n v="12415510"/>
    <x v="490"/>
    <x v="8"/>
    <x v="0"/>
    <s v="Bank Loan"/>
    <n v="315"/>
    <n v="112297.08"/>
    <n v="-8672274"/>
    <n v="29945.887999999999"/>
    <n v="125"/>
    <n v="12415510.698503243"/>
    <n v="2023"/>
    <x v="66"/>
  </r>
  <r>
    <x v="491"/>
    <x v="466"/>
    <x v="2"/>
    <x v="3"/>
    <n v="2"/>
    <n v="4"/>
    <n v="52"/>
    <n v="201"/>
    <n v="2016"/>
    <n v="13323966"/>
    <x v="491"/>
    <x v="5"/>
    <x v="3"/>
    <s v="Bank Loan"/>
    <n v="307"/>
    <n v="174856.56"/>
    <n v="-7495414"/>
    <n v="28997.771144278606"/>
    <n v="201"/>
    <n v="13323966.562551271"/>
    <n v="2025"/>
    <x v="44"/>
  </r>
  <r>
    <x v="492"/>
    <x v="467"/>
    <x v="1"/>
    <x v="3"/>
    <n v="1"/>
    <n v="2"/>
    <n v="99"/>
    <n v="121"/>
    <n v="2010"/>
    <n v="4653804"/>
    <x v="492"/>
    <x v="5"/>
    <x v="1"/>
    <s v="Bank Loan"/>
    <n v="309"/>
    <n v="337241.55"/>
    <n v="6587581"/>
    <n v="92904.008264462813"/>
    <n v="121"/>
    <n v="4653802.5844739061"/>
    <n v="2024"/>
    <x v="76"/>
  </r>
  <r>
    <x v="493"/>
    <x v="468"/>
    <x v="3"/>
    <x v="2"/>
    <n v="3"/>
    <n v="3"/>
    <n v="90"/>
    <n v="232"/>
    <n v="2011"/>
    <n v="5228207"/>
    <x v="493"/>
    <x v="8"/>
    <x v="2"/>
    <s v="Cash"/>
    <n v="167"/>
    <n v="115800.51"/>
    <n v="-1368190"/>
    <n v="42889.077777777777"/>
    <n v="90"/>
    <n v="5228207.2616939228"/>
    <n v="2019"/>
    <x v="21"/>
  </r>
  <r>
    <x v="494"/>
    <x v="469"/>
    <x v="1"/>
    <x v="1"/>
    <n v="4"/>
    <n v="3"/>
    <n v="113"/>
    <n v="185"/>
    <n v="2017"/>
    <n v="5754463"/>
    <x v="494"/>
    <x v="8"/>
    <x v="3"/>
    <s v="Installment"/>
    <n v="137"/>
    <n v="292753.28999999998"/>
    <n v="4003980"/>
    <n v="52748.340540540543"/>
    <n v="185"/>
    <n v="5754462.304195717"/>
    <n v="2026"/>
    <x v="22"/>
  </r>
  <r>
    <x v="495"/>
    <x v="470"/>
    <x v="2"/>
    <x v="2"/>
    <n v="4"/>
    <n v="1"/>
    <n v="142"/>
    <n v="63"/>
    <n v="2010"/>
    <n v="10919481"/>
    <x v="495"/>
    <x v="8"/>
    <x v="0"/>
    <s v="Cash"/>
    <n v="264"/>
    <n v="240802.56"/>
    <n v="-2892729"/>
    <n v="127408.76190476191"/>
    <n v="63"/>
    <n v="10919481.264914514"/>
    <n v="2020"/>
    <x v="34"/>
  </r>
  <r>
    <x v="496"/>
    <x v="471"/>
    <x v="3"/>
    <x v="3"/>
    <n v="4"/>
    <n v="1"/>
    <n v="96"/>
    <n v="243"/>
    <n v="2010"/>
    <n v="7559172"/>
    <x v="496"/>
    <x v="4"/>
    <x v="3"/>
    <s v="Installment"/>
    <n v="203"/>
    <n v="352540.05"/>
    <n v="4192163"/>
    <n v="122409.73958333333"/>
    <n v="96"/>
    <n v="7559171.4454203453"/>
    <n v="2018"/>
    <x v="36"/>
  </r>
  <r>
    <x v="497"/>
    <x v="472"/>
    <x v="3"/>
    <x v="1"/>
    <n v="4"/>
    <n v="2"/>
    <n v="61"/>
    <n v="59"/>
    <n v="2011"/>
    <n v="7506074"/>
    <x v="497"/>
    <x v="1"/>
    <x v="0"/>
    <s v="Cash"/>
    <n v="256"/>
    <n v="368027.82"/>
    <n v="4761520"/>
    <n v="201108.09836065574"/>
    <n v="61"/>
    <n v="7506073.3656444103"/>
    <n v="2019"/>
    <x v="81"/>
  </r>
  <r>
    <x v="498"/>
    <x v="473"/>
    <x v="2"/>
    <x v="0"/>
    <n v="3"/>
    <n v="3"/>
    <n v="139"/>
    <n v="159"/>
    <n v="2015"/>
    <n v="11598513"/>
    <x v="498"/>
    <x v="7"/>
    <x v="3"/>
    <s v="Bank Loan"/>
    <n v="326"/>
    <n v="127732.2"/>
    <n v="-7340773"/>
    <n v="26778.238993710693"/>
    <n v="159"/>
    <n v="11598513.63290639"/>
    <n v="2022"/>
    <x v="46"/>
  </r>
  <r>
    <x v="499"/>
    <x v="85"/>
    <x v="1"/>
    <x v="2"/>
    <n v="3"/>
    <n v="2"/>
    <n v="123"/>
    <n v="68"/>
    <n v="2010"/>
    <n v="10603139"/>
    <x v="499"/>
    <x v="3"/>
    <x v="2"/>
    <s v="Bank Loan"/>
    <n v="106"/>
    <n v="271766.09999999998"/>
    <n v="-1544269"/>
    <n v="133218.67647058822"/>
    <n v="68"/>
    <n v="10603139.145642625"/>
    <n v="2022"/>
    <x v="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B5BC1E-3370-4B2C-B010-2CDBF418843A}" name="PivotTable9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Property Type">
  <location ref="A3:F9" firstHeaderRow="1" firstDataRow="2" firstDataCol="1"/>
  <pivotFields count="24">
    <pivotField showAll="0"/>
    <pivotField numFmtId="16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dataField="1" numFmtId="165"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numFmtId="164" showAll="0"/>
    <pivotField numFmtId="164" showAll="0"/>
    <pivotField numFmtId="165"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dataFields count="1">
    <dataField name="Sales_Property Type" fld="10" baseField="0" baseItem="0" numFmtId="164"/>
  </dataFields>
  <formats count="1">
    <format dxfId="6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C3E207-08B8-46DC-8073-01669AE51616}" name="PivotTable11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Region/City">
  <location ref="A4:C45" firstHeaderRow="0" firstDataRow="1" firstDataCol="1"/>
  <pivotFields count="24">
    <pivotField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axis="axisRow" numFmtId="16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>
      <items count="5">
        <item x="1"/>
        <item x="3"/>
        <item x="2"/>
        <item x="0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165" showAll="0">
      <items count="501">
        <item x="254"/>
        <item x="372"/>
        <item x="310"/>
        <item x="125"/>
        <item x="277"/>
        <item x="353"/>
        <item x="37"/>
        <item x="172"/>
        <item x="482"/>
        <item x="81"/>
        <item x="387"/>
        <item x="150"/>
        <item x="114"/>
        <item x="192"/>
        <item x="425"/>
        <item x="245"/>
        <item x="226"/>
        <item x="44"/>
        <item x="286"/>
        <item x="407"/>
        <item x="198"/>
        <item x="469"/>
        <item x="323"/>
        <item x="57"/>
        <item x="386"/>
        <item x="79"/>
        <item x="62"/>
        <item x="479"/>
        <item x="94"/>
        <item x="137"/>
        <item x="382"/>
        <item x="133"/>
        <item x="99"/>
        <item x="451"/>
        <item x="167"/>
        <item x="34"/>
        <item x="465"/>
        <item x="325"/>
        <item x="377"/>
        <item x="485"/>
        <item x="351"/>
        <item x="36"/>
        <item x="193"/>
        <item x="153"/>
        <item x="38"/>
        <item x="211"/>
        <item x="411"/>
        <item x="344"/>
        <item x="418"/>
        <item x="331"/>
        <item x="402"/>
        <item x="346"/>
        <item x="219"/>
        <item x="486"/>
        <item x="477"/>
        <item x="179"/>
        <item x="424"/>
        <item x="189"/>
        <item x="456"/>
        <item x="196"/>
        <item x="154"/>
        <item x="188"/>
        <item x="412"/>
        <item x="95"/>
        <item x="151"/>
        <item x="228"/>
        <item x="434"/>
        <item x="163"/>
        <item x="181"/>
        <item x="115"/>
        <item x="3"/>
        <item x="12"/>
        <item x="428"/>
        <item x="47"/>
        <item x="341"/>
        <item x="119"/>
        <item x="298"/>
        <item x="232"/>
        <item x="313"/>
        <item x="385"/>
        <item x="223"/>
        <item x="165"/>
        <item x="355"/>
        <item x="168"/>
        <item x="14"/>
        <item x="406"/>
        <item x="203"/>
        <item x="19"/>
        <item x="293"/>
        <item x="309"/>
        <item x="284"/>
        <item x="101"/>
        <item x="205"/>
        <item x="160"/>
        <item x="378"/>
        <item x="87"/>
        <item x="490"/>
        <item x="246"/>
        <item x="308"/>
        <item x="259"/>
        <item x="195"/>
        <item x="243"/>
        <item x="441"/>
        <item x="240"/>
        <item x="493"/>
        <item x="184"/>
        <item x="143"/>
        <item x="0"/>
        <item x="444"/>
        <item x="41"/>
        <item x="290"/>
        <item x="352"/>
        <item x="369"/>
        <item x="217"/>
        <item x="265"/>
        <item x="4"/>
        <item x="317"/>
        <item x="175"/>
        <item x="473"/>
        <item x="25"/>
        <item x="398"/>
        <item x="408"/>
        <item x="498"/>
        <item x="50"/>
        <item x="214"/>
        <item x="88"/>
        <item x="422"/>
        <item x="207"/>
        <item x="185"/>
        <item x="484"/>
        <item x="67"/>
        <item x="300"/>
        <item x="78"/>
        <item x="432"/>
        <item x="438"/>
        <item x="182"/>
        <item x="59"/>
        <item x="118"/>
        <item x="302"/>
        <item x="178"/>
        <item x="123"/>
        <item x="221"/>
        <item x="373"/>
        <item x="483"/>
        <item x="85"/>
        <item x="470"/>
        <item x="100"/>
        <item x="283"/>
        <item x="288"/>
        <item x="329"/>
        <item x="5"/>
        <item x="389"/>
        <item x="159"/>
        <item x="332"/>
        <item x="71"/>
        <item x="84"/>
        <item x="55"/>
        <item x="17"/>
        <item x="404"/>
        <item x="360"/>
        <item x="31"/>
        <item x="337"/>
        <item x="107"/>
        <item x="152"/>
        <item x="116"/>
        <item x="443"/>
        <item x="394"/>
        <item x="127"/>
        <item x="9"/>
        <item x="80"/>
        <item x="171"/>
        <item x="145"/>
        <item x="224"/>
        <item x="263"/>
        <item x="210"/>
        <item x="10"/>
        <item x="455"/>
        <item x="427"/>
        <item x="417"/>
        <item x="131"/>
        <item x="343"/>
        <item x="112"/>
        <item x="362"/>
        <item x="166"/>
        <item x="11"/>
        <item x="491"/>
        <item x="169"/>
        <item x="242"/>
        <item x="409"/>
        <item x="35"/>
        <item x="289"/>
        <item x="368"/>
        <item x="442"/>
        <item x="216"/>
        <item x="430"/>
        <item x="311"/>
        <item x="20"/>
        <item x="96"/>
        <item x="147"/>
        <item x="157"/>
        <item x="60"/>
        <item x="149"/>
        <item x="122"/>
        <item x="361"/>
        <item x="471"/>
        <item x="97"/>
        <item x="140"/>
        <item x="102"/>
        <item x="176"/>
        <item x="247"/>
        <item x="379"/>
        <item x="454"/>
        <item x="365"/>
        <item x="2"/>
        <item x="241"/>
        <item x="291"/>
        <item x="124"/>
        <item x="45"/>
        <item x="333"/>
        <item x="367"/>
        <item x="215"/>
        <item x="280"/>
        <item x="65"/>
        <item x="64"/>
        <item x="32"/>
        <item x="450"/>
        <item x="68"/>
        <item x="423"/>
        <item x="472"/>
        <item x="384"/>
        <item x="183"/>
        <item x="206"/>
        <item x="448"/>
        <item x="468"/>
        <item x="186"/>
        <item x="446"/>
        <item x="104"/>
        <item x="108"/>
        <item x="388"/>
        <item x="287"/>
        <item x="132"/>
        <item x="307"/>
        <item x="339"/>
        <item x="347"/>
        <item x="113"/>
        <item x="415"/>
        <item x="26"/>
        <item x="91"/>
        <item x="138"/>
        <item x="304"/>
        <item x="22"/>
        <item x="306"/>
        <item x="363"/>
        <item x="15"/>
        <item x="261"/>
        <item x="401"/>
        <item x="460"/>
        <item x="220"/>
        <item x="144"/>
        <item x="229"/>
        <item x="320"/>
        <item x="461"/>
        <item x="282"/>
        <item x="173"/>
        <item x="54"/>
        <item x="474"/>
        <item x="23"/>
        <item x="197"/>
        <item x="252"/>
        <item x="274"/>
        <item x="218"/>
        <item x="146"/>
        <item x="63"/>
        <item x="111"/>
        <item x="134"/>
        <item x="257"/>
        <item x="324"/>
        <item x="72"/>
        <item x="396"/>
        <item x="212"/>
        <item x="93"/>
        <item x="28"/>
        <item x="61"/>
        <item x="435"/>
        <item x="358"/>
        <item x="24"/>
        <item x="141"/>
        <item x="315"/>
        <item x="73"/>
        <item x="301"/>
        <item x="128"/>
        <item x="495"/>
        <item x="364"/>
        <item x="200"/>
        <item x="285"/>
        <item x="155"/>
        <item x="262"/>
        <item x="249"/>
        <item x="233"/>
        <item x="393"/>
        <item x="445"/>
        <item x="349"/>
        <item x="235"/>
        <item x="56"/>
        <item x="326"/>
        <item x="256"/>
        <item x="103"/>
        <item x="52"/>
        <item x="322"/>
        <item x="16"/>
        <item x="439"/>
        <item x="209"/>
        <item x="371"/>
        <item x="314"/>
        <item x="276"/>
        <item x="105"/>
        <item x="86"/>
        <item x="98"/>
        <item x="381"/>
        <item x="139"/>
        <item x="39"/>
        <item x="296"/>
        <item x="457"/>
        <item x="74"/>
        <item x="350"/>
        <item x="327"/>
        <item x="120"/>
        <item x="136"/>
        <item x="338"/>
        <item x="391"/>
        <item x="267"/>
        <item x="121"/>
        <item x="222"/>
        <item x="279"/>
        <item x="499"/>
        <item x="177"/>
        <item x="76"/>
        <item x="244"/>
        <item x="46"/>
        <item x="27"/>
        <item x="462"/>
        <item x="453"/>
        <item x="392"/>
        <item x="258"/>
        <item x="342"/>
        <item x="194"/>
        <item x="213"/>
        <item x="272"/>
        <item x="494"/>
        <item x="201"/>
        <item x="237"/>
        <item x="294"/>
        <item x="174"/>
        <item x="110"/>
        <item x="478"/>
        <item x="126"/>
        <item x="90"/>
        <item x="135"/>
        <item x="400"/>
        <item x="316"/>
        <item x="356"/>
        <item x="6"/>
        <item x="399"/>
        <item x="305"/>
        <item x="208"/>
        <item x="187"/>
        <item x="13"/>
        <item x="273"/>
        <item x="30"/>
        <item x="340"/>
        <item x="231"/>
        <item x="161"/>
        <item x="292"/>
        <item x="374"/>
        <item x="82"/>
        <item x="225"/>
        <item x="156"/>
        <item x="466"/>
        <item x="250"/>
        <item x="299"/>
        <item x="312"/>
        <item x="148"/>
        <item x="83"/>
        <item x="281"/>
        <item x="467"/>
        <item x="202"/>
        <item x="170"/>
        <item x="158"/>
        <item x="130"/>
        <item x="275"/>
        <item x="190"/>
        <item x="330"/>
        <item x="270"/>
        <item x="416"/>
        <item x="421"/>
        <item x="18"/>
        <item x="403"/>
        <item x="429"/>
        <item x="395"/>
        <item x="199"/>
        <item x="42"/>
        <item x="70"/>
        <item x="162"/>
        <item x="66"/>
        <item x="69"/>
        <item x="366"/>
        <item x="420"/>
        <item x="33"/>
        <item x="1"/>
        <item x="164"/>
        <item x="480"/>
        <item x="7"/>
        <item x="354"/>
        <item x="447"/>
        <item x="426"/>
        <item x="359"/>
        <item x="376"/>
        <item x="117"/>
        <item x="492"/>
        <item x="370"/>
        <item x="268"/>
        <item x="458"/>
        <item x="328"/>
        <item x="297"/>
        <item x="234"/>
        <item x="318"/>
        <item x="180"/>
        <item x="380"/>
        <item x="433"/>
        <item x="269"/>
        <item x="49"/>
        <item x="248"/>
        <item x="375"/>
        <item x="53"/>
        <item x="92"/>
        <item x="58"/>
        <item x="410"/>
        <item x="452"/>
        <item x="43"/>
        <item x="336"/>
        <item x="142"/>
        <item x="40"/>
        <item x="253"/>
        <item x="230"/>
        <item x="496"/>
        <item x="48"/>
        <item x="89"/>
        <item x="266"/>
        <item x="487"/>
        <item x="335"/>
        <item x="129"/>
        <item x="489"/>
        <item x="106"/>
        <item x="405"/>
        <item x="251"/>
        <item x="397"/>
        <item x="431"/>
        <item x="463"/>
        <item x="264"/>
        <item x="260"/>
        <item x="449"/>
        <item x="440"/>
        <item x="414"/>
        <item x="413"/>
        <item x="295"/>
        <item x="204"/>
        <item x="497"/>
        <item x="476"/>
        <item x="21"/>
        <item x="109"/>
        <item x="238"/>
        <item x="29"/>
        <item x="278"/>
        <item x="303"/>
        <item x="239"/>
        <item x="255"/>
        <item x="191"/>
        <item x="488"/>
        <item x="334"/>
        <item x="481"/>
        <item x="357"/>
        <item x="236"/>
        <item x="459"/>
        <item x="8"/>
        <item x="419"/>
        <item x="348"/>
        <item x="390"/>
        <item x="321"/>
        <item x="271"/>
        <item x="227"/>
        <item x="345"/>
        <item x="77"/>
        <item x="475"/>
        <item x="383"/>
        <item x="51"/>
        <item x="436"/>
        <item x="75"/>
        <item x="464"/>
        <item x="437"/>
        <item x="319"/>
        <item t="default"/>
      </items>
    </pivotField>
    <pivotField showAll="0"/>
    <pivotField showAll="0">
      <items count="5">
        <item x="1"/>
        <item x="3"/>
        <item x="2"/>
        <item x="0"/>
        <item t="default"/>
      </items>
    </pivotField>
    <pivotField showAll="0"/>
    <pivotField showAll="0"/>
    <pivotField numFmtId="164" showAll="0"/>
    <pivotField numFmtId="164" showAll="0"/>
    <pivotField numFmtId="165" showAll="0"/>
    <pivotField showAll="0"/>
    <pivotField showAll="0"/>
    <pivotField showAll="0"/>
    <pivotField showAll="0"/>
    <pivotField dataField="1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3">
    <field x="3"/>
    <field x="23"/>
    <field x="1"/>
  </rowFields>
  <rowItems count="41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roperty_Type" fld="2" subtotal="count" baseField="0" baseItem="0"/>
    <dataField name="Count of Quarters" fld="22" subtotal="count" baseField="0" baseItem="0"/>
  </dataFields>
  <formats count="1">
    <format dxfId="0">
      <pivotArea outline="0" collapsedLevelsAreSubtotals="1" fieldPosition="0"/>
    </format>
  </formats>
  <chartFormats count="76">
    <chartFormat chart="0" format="15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6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3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3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23" count="1" selected="0">
            <x v="1"/>
          </reference>
        </references>
      </pivotArea>
    </chartFormat>
    <chartFormat chart="2" format="240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23" count="1" selected="0">
            <x v="2"/>
          </reference>
        </references>
      </pivotArea>
    </chartFormat>
    <chartFormat chart="2" format="24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23" count="1" selected="0">
            <x v="3"/>
          </reference>
        </references>
      </pivotArea>
    </chartFormat>
    <chartFormat chart="2" format="24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23" count="1" selected="0">
            <x v="4"/>
          </reference>
        </references>
      </pivotArea>
    </chartFormat>
    <chartFormat chart="2" format="243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23" count="1" selected="0">
            <x v="5"/>
          </reference>
        </references>
      </pivotArea>
    </chartFormat>
    <chartFormat chart="2" format="244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23" count="1" selected="0">
            <x v="6"/>
          </reference>
        </references>
      </pivotArea>
    </chartFormat>
    <chartFormat chart="2" format="245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23" count="1" selected="0">
            <x v="7"/>
          </reference>
        </references>
      </pivotArea>
    </chartFormat>
    <chartFormat chart="2" format="24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23" count="1" selected="0">
            <x v="8"/>
          </reference>
        </references>
      </pivotArea>
    </chartFormat>
    <chartFormat chart="2" format="24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23" count="1" selected="0">
            <x v="9"/>
          </reference>
        </references>
      </pivotArea>
    </chartFormat>
    <chartFormat chart="2" format="248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23" count="1" selected="0">
            <x v="1"/>
          </reference>
        </references>
      </pivotArea>
    </chartFormat>
    <chartFormat chart="2" format="249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23" count="1" selected="0">
            <x v="2"/>
          </reference>
        </references>
      </pivotArea>
    </chartFormat>
    <chartFormat chart="2" format="250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23" count="1" selected="0">
            <x v="3"/>
          </reference>
        </references>
      </pivotArea>
    </chartFormat>
    <chartFormat chart="2" format="25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23" count="1" selected="0">
            <x v="4"/>
          </reference>
        </references>
      </pivotArea>
    </chartFormat>
    <chartFormat chart="2" format="252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23" count="1" selected="0">
            <x v="5"/>
          </reference>
        </references>
      </pivotArea>
    </chartFormat>
    <chartFormat chart="2" format="253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23" count="1" selected="0">
            <x v="6"/>
          </reference>
        </references>
      </pivotArea>
    </chartFormat>
    <chartFormat chart="2" format="254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23" count="1" selected="0">
            <x v="7"/>
          </reference>
        </references>
      </pivotArea>
    </chartFormat>
    <chartFormat chart="2" format="25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23" count="1" selected="0">
            <x v="8"/>
          </reference>
        </references>
      </pivotArea>
    </chartFormat>
    <chartFormat chart="2" format="256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23" count="1" selected="0">
            <x v="9"/>
          </reference>
        </references>
      </pivotArea>
    </chartFormat>
    <chartFormat chart="2" format="257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23" count="1" selected="0">
            <x v="1"/>
          </reference>
        </references>
      </pivotArea>
    </chartFormat>
    <chartFormat chart="2" format="25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23" count="1" selected="0">
            <x v="2"/>
          </reference>
        </references>
      </pivotArea>
    </chartFormat>
    <chartFormat chart="2" format="259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23" count="1" selected="0">
            <x v="3"/>
          </reference>
        </references>
      </pivotArea>
    </chartFormat>
    <chartFormat chart="2" format="260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23" count="1" selected="0">
            <x v="4"/>
          </reference>
        </references>
      </pivotArea>
    </chartFormat>
    <chartFormat chart="2" format="26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23" count="1" selected="0">
            <x v="5"/>
          </reference>
        </references>
      </pivotArea>
    </chartFormat>
    <chartFormat chart="2" format="262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23" count="1" selected="0">
            <x v="6"/>
          </reference>
        </references>
      </pivotArea>
    </chartFormat>
    <chartFormat chart="2" format="26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23" count="1" selected="0">
            <x v="7"/>
          </reference>
        </references>
      </pivotArea>
    </chartFormat>
    <chartFormat chart="2" format="264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23" count="1" selected="0">
            <x v="8"/>
          </reference>
        </references>
      </pivotArea>
    </chartFormat>
    <chartFormat chart="2" format="265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23" count="1" selected="0">
            <x v="9"/>
          </reference>
        </references>
      </pivotArea>
    </chartFormat>
    <chartFormat chart="2" format="266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23" count="1" selected="0">
            <x v="1"/>
          </reference>
        </references>
      </pivotArea>
    </chartFormat>
    <chartFormat chart="2" format="267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23" count="1" selected="0">
            <x v="2"/>
          </reference>
        </references>
      </pivotArea>
    </chartFormat>
    <chartFormat chart="2" format="268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23" count="1" selected="0">
            <x v="3"/>
          </reference>
        </references>
      </pivotArea>
    </chartFormat>
    <chartFormat chart="2" format="269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23" count="1" selected="0">
            <x v="4"/>
          </reference>
        </references>
      </pivotArea>
    </chartFormat>
    <chartFormat chart="2" format="270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23" count="1" selected="0">
            <x v="5"/>
          </reference>
        </references>
      </pivotArea>
    </chartFormat>
    <chartFormat chart="2" format="27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23" count="1" selected="0">
            <x v="6"/>
          </reference>
        </references>
      </pivotArea>
    </chartFormat>
    <chartFormat chart="2" format="272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23" count="1" selected="0">
            <x v="7"/>
          </reference>
        </references>
      </pivotArea>
    </chartFormat>
    <chartFormat chart="2" format="273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23" count="1" selected="0">
            <x v="8"/>
          </reference>
        </references>
      </pivotArea>
    </chartFormat>
    <chartFormat chart="2" format="274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23" count="1" selected="0">
            <x v="9"/>
          </reference>
        </references>
      </pivotArea>
    </chartFormat>
    <chartFormat chart="2" format="27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76">
      <pivotArea type="data" outline="0" fieldPosition="0">
        <references count="3">
          <reference field="4294967294" count="1" selected="0">
            <x v="1"/>
          </reference>
          <reference field="3" count="1" selected="0">
            <x v="0"/>
          </reference>
          <reference field="23" count="1" selected="0">
            <x v="1"/>
          </reference>
        </references>
      </pivotArea>
    </chartFormat>
    <chartFormat chart="2" format="277">
      <pivotArea type="data" outline="0" fieldPosition="0">
        <references count="3">
          <reference field="4294967294" count="1" selected="0">
            <x v="1"/>
          </reference>
          <reference field="3" count="1" selected="0">
            <x v="0"/>
          </reference>
          <reference field="23" count="1" selected="0">
            <x v="2"/>
          </reference>
        </references>
      </pivotArea>
    </chartFormat>
    <chartFormat chart="2" format="278">
      <pivotArea type="data" outline="0" fieldPosition="0">
        <references count="3">
          <reference field="4294967294" count="1" selected="0">
            <x v="1"/>
          </reference>
          <reference field="3" count="1" selected="0">
            <x v="0"/>
          </reference>
          <reference field="23" count="1" selected="0">
            <x v="3"/>
          </reference>
        </references>
      </pivotArea>
    </chartFormat>
    <chartFormat chart="2" format="279">
      <pivotArea type="data" outline="0" fieldPosition="0">
        <references count="3">
          <reference field="4294967294" count="1" selected="0">
            <x v="1"/>
          </reference>
          <reference field="3" count="1" selected="0">
            <x v="0"/>
          </reference>
          <reference field="23" count="1" selected="0">
            <x v="4"/>
          </reference>
        </references>
      </pivotArea>
    </chartFormat>
    <chartFormat chart="2" format="280">
      <pivotArea type="data" outline="0" fieldPosition="0">
        <references count="3">
          <reference field="4294967294" count="1" selected="0">
            <x v="1"/>
          </reference>
          <reference field="3" count="1" selected="0">
            <x v="0"/>
          </reference>
          <reference field="23" count="1" selected="0">
            <x v="5"/>
          </reference>
        </references>
      </pivotArea>
    </chartFormat>
    <chartFormat chart="2" format="281">
      <pivotArea type="data" outline="0" fieldPosition="0">
        <references count="3">
          <reference field="4294967294" count="1" selected="0">
            <x v="1"/>
          </reference>
          <reference field="3" count="1" selected="0">
            <x v="0"/>
          </reference>
          <reference field="23" count="1" selected="0">
            <x v="6"/>
          </reference>
        </references>
      </pivotArea>
    </chartFormat>
    <chartFormat chart="2" format="282">
      <pivotArea type="data" outline="0" fieldPosition="0">
        <references count="3">
          <reference field="4294967294" count="1" selected="0">
            <x v="1"/>
          </reference>
          <reference field="3" count="1" selected="0">
            <x v="0"/>
          </reference>
          <reference field="23" count="1" selected="0">
            <x v="7"/>
          </reference>
        </references>
      </pivotArea>
    </chartFormat>
    <chartFormat chart="2" format="283">
      <pivotArea type="data" outline="0" fieldPosition="0">
        <references count="3">
          <reference field="4294967294" count="1" selected="0">
            <x v="1"/>
          </reference>
          <reference field="3" count="1" selected="0">
            <x v="0"/>
          </reference>
          <reference field="23" count="1" selected="0">
            <x v="8"/>
          </reference>
        </references>
      </pivotArea>
    </chartFormat>
    <chartFormat chart="2" format="284">
      <pivotArea type="data" outline="0" fieldPosition="0">
        <references count="3">
          <reference field="4294967294" count="1" selected="0">
            <x v="1"/>
          </reference>
          <reference field="3" count="1" selected="0">
            <x v="0"/>
          </reference>
          <reference field="23" count="1" selected="0">
            <x v="9"/>
          </reference>
        </references>
      </pivotArea>
    </chartFormat>
    <chartFormat chart="2" format="285">
      <pivotArea type="data" outline="0" fieldPosition="0">
        <references count="3">
          <reference field="4294967294" count="1" selected="0">
            <x v="1"/>
          </reference>
          <reference field="3" count="1" selected="0">
            <x v="1"/>
          </reference>
          <reference field="23" count="1" selected="0">
            <x v="1"/>
          </reference>
        </references>
      </pivotArea>
    </chartFormat>
    <chartFormat chart="2" format="286">
      <pivotArea type="data" outline="0" fieldPosition="0">
        <references count="3">
          <reference field="4294967294" count="1" selected="0">
            <x v="1"/>
          </reference>
          <reference field="3" count="1" selected="0">
            <x v="1"/>
          </reference>
          <reference field="23" count="1" selected="0">
            <x v="2"/>
          </reference>
        </references>
      </pivotArea>
    </chartFormat>
    <chartFormat chart="2" format="287">
      <pivotArea type="data" outline="0" fieldPosition="0">
        <references count="3">
          <reference field="4294967294" count="1" selected="0">
            <x v="1"/>
          </reference>
          <reference field="3" count="1" selected="0">
            <x v="1"/>
          </reference>
          <reference field="23" count="1" selected="0">
            <x v="3"/>
          </reference>
        </references>
      </pivotArea>
    </chartFormat>
    <chartFormat chart="2" format="288">
      <pivotArea type="data" outline="0" fieldPosition="0">
        <references count="3">
          <reference field="4294967294" count="1" selected="0">
            <x v="1"/>
          </reference>
          <reference field="3" count="1" selected="0">
            <x v="1"/>
          </reference>
          <reference field="23" count="1" selected="0">
            <x v="4"/>
          </reference>
        </references>
      </pivotArea>
    </chartFormat>
    <chartFormat chart="2" format="289">
      <pivotArea type="data" outline="0" fieldPosition="0">
        <references count="3">
          <reference field="4294967294" count="1" selected="0">
            <x v="1"/>
          </reference>
          <reference field="3" count="1" selected="0">
            <x v="1"/>
          </reference>
          <reference field="23" count="1" selected="0">
            <x v="5"/>
          </reference>
        </references>
      </pivotArea>
    </chartFormat>
    <chartFormat chart="2" format="290">
      <pivotArea type="data" outline="0" fieldPosition="0">
        <references count="3">
          <reference field="4294967294" count="1" selected="0">
            <x v="1"/>
          </reference>
          <reference field="3" count="1" selected="0">
            <x v="1"/>
          </reference>
          <reference field="23" count="1" selected="0">
            <x v="6"/>
          </reference>
        </references>
      </pivotArea>
    </chartFormat>
    <chartFormat chart="2" format="291">
      <pivotArea type="data" outline="0" fieldPosition="0">
        <references count="3">
          <reference field="4294967294" count="1" selected="0">
            <x v="1"/>
          </reference>
          <reference field="3" count="1" selected="0">
            <x v="1"/>
          </reference>
          <reference field="23" count="1" selected="0">
            <x v="7"/>
          </reference>
        </references>
      </pivotArea>
    </chartFormat>
    <chartFormat chart="2" format="292">
      <pivotArea type="data" outline="0" fieldPosition="0">
        <references count="3">
          <reference field="4294967294" count="1" selected="0">
            <x v="1"/>
          </reference>
          <reference field="3" count="1" selected="0">
            <x v="1"/>
          </reference>
          <reference field="23" count="1" selected="0">
            <x v="8"/>
          </reference>
        </references>
      </pivotArea>
    </chartFormat>
    <chartFormat chart="2" format="293">
      <pivotArea type="data" outline="0" fieldPosition="0">
        <references count="3">
          <reference field="4294967294" count="1" selected="0">
            <x v="1"/>
          </reference>
          <reference field="3" count="1" selected="0">
            <x v="1"/>
          </reference>
          <reference field="23" count="1" selected="0">
            <x v="9"/>
          </reference>
        </references>
      </pivotArea>
    </chartFormat>
    <chartFormat chart="2" format="294">
      <pivotArea type="data" outline="0" fieldPosition="0">
        <references count="3">
          <reference field="4294967294" count="1" selected="0">
            <x v="1"/>
          </reference>
          <reference field="3" count="1" selected="0">
            <x v="2"/>
          </reference>
          <reference field="23" count="1" selected="0">
            <x v="1"/>
          </reference>
        </references>
      </pivotArea>
    </chartFormat>
    <chartFormat chart="2" format="295">
      <pivotArea type="data" outline="0" fieldPosition="0">
        <references count="3">
          <reference field="4294967294" count="1" selected="0">
            <x v="1"/>
          </reference>
          <reference field="3" count="1" selected="0">
            <x v="2"/>
          </reference>
          <reference field="23" count="1" selected="0">
            <x v="2"/>
          </reference>
        </references>
      </pivotArea>
    </chartFormat>
    <chartFormat chart="2" format="296">
      <pivotArea type="data" outline="0" fieldPosition="0">
        <references count="3">
          <reference field="4294967294" count="1" selected="0">
            <x v="1"/>
          </reference>
          <reference field="3" count="1" selected="0">
            <x v="2"/>
          </reference>
          <reference field="23" count="1" selected="0">
            <x v="3"/>
          </reference>
        </references>
      </pivotArea>
    </chartFormat>
    <chartFormat chart="2" format="297">
      <pivotArea type="data" outline="0" fieldPosition="0">
        <references count="3">
          <reference field="4294967294" count="1" selected="0">
            <x v="1"/>
          </reference>
          <reference field="3" count="1" selected="0">
            <x v="2"/>
          </reference>
          <reference field="23" count="1" selected="0">
            <x v="4"/>
          </reference>
        </references>
      </pivotArea>
    </chartFormat>
    <chartFormat chart="2" format="298">
      <pivotArea type="data" outline="0" fieldPosition="0">
        <references count="3">
          <reference field="4294967294" count="1" selected="0">
            <x v="1"/>
          </reference>
          <reference field="3" count="1" selected="0">
            <x v="2"/>
          </reference>
          <reference field="23" count="1" selected="0">
            <x v="5"/>
          </reference>
        </references>
      </pivotArea>
    </chartFormat>
    <chartFormat chart="2" format="299">
      <pivotArea type="data" outline="0" fieldPosition="0">
        <references count="3">
          <reference field="4294967294" count="1" selected="0">
            <x v="1"/>
          </reference>
          <reference field="3" count="1" selected="0">
            <x v="2"/>
          </reference>
          <reference field="23" count="1" selected="0">
            <x v="6"/>
          </reference>
        </references>
      </pivotArea>
    </chartFormat>
    <chartFormat chart="2" format="300">
      <pivotArea type="data" outline="0" fieldPosition="0">
        <references count="3">
          <reference field="4294967294" count="1" selected="0">
            <x v="1"/>
          </reference>
          <reference field="3" count="1" selected="0">
            <x v="2"/>
          </reference>
          <reference field="23" count="1" selected="0">
            <x v="7"/>
          </reference>
        </references>
      </pivotArea>
    </chartFormat>
    <chartFormat chart="2" format="301">
      <pivotArea type="data" outline="0" fieldPosition="0">
        <references count="3">
          <reference field="4294967294" count="1" selected="0">
            <x v="1"/>
          </reference>
          <reference field="3" count="1" selected="0">
            <x v="2"/>
          </reference>
          <reference field="23" count="1" selected="0">
            <x v="8"/>
          </reference>
        </references>
      </pivotArea>
    </chartFormat>
    <chartFormat chart="2" format="302">
      <pivotArea type="data" outline="0" fieldPosition="0">
        <references count="3">
          <reference field="4294967294" count="1" selected="0">
            <x v="1"/>
          </reference>
          <reference field="3" count="1" selected="0">
            <x v="2"/>
          </reference>
          <reference field="23" count="1" selected="0">
            <x v="9"/>
          </reference>
        </references>
      </pivotArea>
    </chartFormat>
    <chartFormat chart="2" format="303">
      <pivotArea type="data" outline="0" fieldPosition="0">
        <references count="3">
          <reference field="4294967294" count="1" selected="0">
            <x v="1"/>
          </reference>
          <reference field="3" count="1" selected="0">
            <x v="3"/>
          </reference>
          <reference field="23" count="1" selected="0">
            <x v="1"/>
          </reference>
        </references>
      </pivotArea>
    </chartFormat>
    <chartFormat chart="2" format="304">
      <pivotArea type="data" outline="0" fieldPosition="0">
        <references count="3">
          <reference field="4294967294" count="1" selected="0">
            <x v="1"/>
          </reference>
          <reference field="3" count="1" selected="0">
            <x v="3"/>
          </reference>
          <reference field="23" count="1" selected="0">
            <x v="2"/>
          </reference>
        </references>
      </pivotArea>
    </chartFormat>
    <chartFormat chart="2" format="305">
      <pivotArea type="data" outline="0" fieldPosition="0">
        <references count="3">
          <reference field="4294967294" count="1" selected="0">
            <x v="1"/>
          </reference>
          <reference field="3" count="1" selected="0">
            <x v="3"/>
          </reference>
          <reference field="23" count="1" selected="0">
            <x v="3"/>
          </reference>
        </references>
      </pivotArea>
    </chartFormat>
    <chartFormat chart="2" format="306">
      <pivotArea type="data" outline="0" fieldPosition="0">
        <references count="3">
          <reference field="4294967294" count="1" selected="0">
            <x v="1"/>
          </reference>
          <reference field="3" count="1" selected="0">
            <x v="3"/>
          </reference>
          <reference field="23" count="1" selected="0">
            <x v="4"/>
          </reference>
        </references>
      </pivotArea>
    </chartFormat>
    <chartFormat chart="2" format="307">
      <pivotArea type="data" outline="0" fieldPosition="0">
        <references count="3">
          <reference field="4294967294" count="1" selected="0">
            <x v="1"/>
          </reference>
          <reference field="3" count="1" selected="0">
            <x v="3"/>
          </reference>
          <reference field="23" count="1" selected="0">
            <x v="5"/>
          </reference>
        </references>
      </pivotArea>
    </chartFormat>
    <chartFormat chart="2" format="308">
      <pivotArea type="data" outline="0" fieldPosition="0">
        <references count="3">
          <reference field="4294967294" count="1" selected="0">
            <x v="1"/>
          </reference>
          <reference field="3" count="1" selected="0">
            <x v="3"/>
          </reference>
          <reference field="23" count="1" selected="0">
            <x v="6"/>
          </reference>
        </references>
      </pivotArea>
    </chartFormat>
    <chartFormat chart="2" format="309">
      <pivotArea type="data" outline="0" fieldPosition="0">
        <references count="3">
          <reference field="4294967294" count="1" selected="0">
            <x v="1"/>
          </reference>
          <reference field="3" count="1" selected="0">
            <x v="3"/>
          </reference>
          <reference field="23" count="1" selected="0">
            <x v="7"/>
          </reference>
        </references>
      </pivotArea>
    </chartFormat>
    <chartFormat chart="2" format="310">
      <pivotArea type="data" outline="0" fieldPosition="0">
        <references count="3">
          <reference field="4294967294" count="1" selected="0">
            <x v="1"/>
          </reference>
          <reference field="3" count="1" selected="0">
            <x v="3"/>
          </reference>
          <reference field="23" count="1" selected="0">
            <x v="8"/>
          </reference>
        </references>
      </pivotArea>
    </chartFormat>
    <chartFormat chart="2" format="311">
      <pivotArea type="data" outline="0" fieldPosition="0">
        <references count="3">
          <reference field="4294967294" count="1" selected="0">
            <x v="1"/>
          </reference>
          <reference field="3" count="1" selected="0">
            <x v="3"/>
          </reference>
          <reference field="23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656AD8-128B-4D96-8BD2-D2A015A2F3AF}" name="PivotTable12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 rowHeaderCaption="Agent Name">
  <location ref="A3:C13" firstHeaderRow="0" firstDataRow="1" firstDataCol="1"/>
  <pivotFields count="24">
    <pivotField showAll="0"/>
    <pivotField numFmtId="16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dataField="1" numFmtId="165" showAll="0"/>
    <pivotField axis="axisRow" showAll="0">
      <items count="10">
        <item x="3"/>
        <item x="4"/>
        <item x="2"/>
        <item x="1"/>
        <item x="7"/>
        <item x="0"/>
        <item x="6"/>
        <item x="8"/>
        <item x="5"/>
        <item t="default"/>
      </items>
    </pivotField>
    <pivotField showAll="0"/>
    <pivotField showAll="0"/>
    <pivotField showAll="0"/>
    <pivotField dataField="1" numFmtId="164" showAll="0"/>
    <pivotField numFmtId="164" showAll="0"/>
    <pivotField numFmtId="165"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1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mmission_PHP" fld="15" baseField="0" baseItem="0"/>
    <dataField name="Sum of Sale_Price" fld="10" baseField="0" baseItem="0"/>
  </dataFields>
  <formats count="2">
    <format dxfId="5">
      <pivotArea outline="0" collapsedLevelsAreSubtotals="1" fieldPosition="0"/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093161-CD57-40B0-A72A-79E0DE352C1E}" name="PivotTable13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Year">
  <location ref="A3:B13" firstHeaderRow="1" firstDataRow="1" firstDataCol="1"/>
  <pivotFields count="24">
    <pivotField showAll="0"/>
    <pivotField numFmtId="16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dataField="1" numFmtId="165" showAll="0"/>
    <pivotField showAll="0"/>
    <pivotField showAll="0"/>
    <pivotField showAll="0"/>
    <pivotField showAll="0"/>
    <pivotField numFmtId="164" showAll="0"/>
    <pivotField numFmtId="164" showAll="0"/>
    <pivotField numFmtId="165" showAll="0"/>
    <pivotField showAll="0"/>
    <pivotField showAll="0"/>
    <pivotField showAll="0"/>
    <pivotField showAll="0"/>
    <pivotField showAll="0">
      <items count="7">
        <item sd="0" x="0"/>
        <item x="1"/>
        <item x="2"/>
        <item x="3"/>
        <item x="4"/>
        <item sd="0" x="5"/>
        <item t="default"/>
      </items>
    </pivotField>
    <pivotField axis="axisRow" showAll="0">
      <items count="12">
        <item sd="0" x="0"/>
        <item x="1"/>
        <item x="2"/>
        <item x="3"/>
        <item x="4"/>
        <item x="5"/>
        <item x="6"/>
        <item x="7"/>
        <item x="8"/>
        <item x="9"/>
        <item sd="0" x="10"/>
        <item t="default"/>
      </items>
    </pivotField>
  </pivotFields>
  <rowFields count="1">
    <field x="23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_Price" fld="10" baseField="0" baseItem="0" numFmtId="164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A45845-1100-4C16-BD2E-3C775C59551D}" name="PivotTable1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:B101" firstHeaderRow="1" firstDataRow="1" firstDataCol="1"/>
  <pivotFields count="24">
    <pivotField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dataField="1" numFmtId="165" showAll="0"/>
    <pivotField showAll="0"/>
    <pivotField showAll="0"/>
    <pivotField showAll="0"/>
    <pivotField showAll="0"/>
    <pivotField numFmtId="164" showAll="0"/>
    <pivotField numFmtId="164" showAll="0"/>
    <pivotField numFmtId="165" showAll="0"/>
    <pivotField showAll="0"/>
    <pivotField showAll="0"/>
    <pivotField showAll="0"/>
    <pivotField axis="axisRow" showAll="0">
      <items count="100">
        <item x="89"/>
        <item x="85"/>
        <item x="10"/>
        <item x="88"/>
        <item x="55"/>
        <item x="66"/>
        <item x="41"/>
        <item x="95"/>
        <item x="74"/>
        <item x="71"/>
        <item x="61"/>
        <item x="40"/>
        <item x="20"/>
        <item x="91"/>
        <item x="73"/>
        <item x="39"/>
        <item x="16"/>
        <item x="81"/>
        <item x="34"/>
        <item x="94"/>
        <item x="15"/>
        <item x="35"/>
        <item x="87"/>
        <item x="98"/>
        <item x="33"/>
        <item x="47"/>
        <item x="51"/>
        <item x="53"/>
        <item x="23"/>
        <item x="97"/>
        <item x="3"/>
        <item x="28"/>
        <item x="52"/>
        <item x="43"/>
        <item x="57"/>
        <item x="96"/>
        <item x="54"/>
        <item x="90"/>
        <item x="75"/>
        <item x="82"/>
        <item x="58"/>
        <item x="22"/>
        <item x="56"/>
        <item x="45"/>
        <item x="48"/>
        <item x="29"/>
        <item x="13"/>
        <item x="2"/>
        <item x="76"/>
        <item x="92"/>
        <item x="11"/>
        <item x="21"/>
        <item x="8"/>
        <item x="69"/>
        <item x="86"/>
        <item x="68"/>
        <item x="77"/>
        <item x="42"/>
        <item x="38"/>
        <item x="26"/>
        <item x="63"/>
        <item x="27"/>
        <item x="32"/>
        <item x="93"/>
        <item x="4"/>
        <item x="7"/>
        <item x="37"/>
        <item x="30"/>
        <item x="18"/>
        <item x="25"/>
        <item x="84"/>
        <item x="79"/>
        <item x="64"/>
        <item x="1"/>
        <item x="83"/>
        <item x="67"/>
        <item x="80"/>
        <item x="50"/>
        <item x="70"/>
        <item x="14"/>
        <item x="49"/>
        <item x="17"/>
        <item x="24"/>
        <item x="36"/>
        <item x="78"/>
        <item x="60"/>
        <item x="19"/>
        <item x="5"/>
        <item x="6"/>
        <item x="31"/>
        <item x="65"/>
        <item x="62"/>
        <item x="59"/>
        <item x="72"/>
        <item x="9"/>
        <item x="46"/>
        <item x="0"/>
        <item x="12"/>
        <item x="44"/>
        <item t="default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/>
  </pivotFields>
  <rowFields count="1">
    <field x="21"/>
  </rowFields>
  <rowItems count="1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 t="grand">
      <x/>
    </i>
  </rowItems>
  <colItems count="1">
    <i/>
  </colItems>
  <dataFields count="1">
    <dataField name="Sum of Sale_Price" fld="10" baseField="0" baseItem="0" numFmtId="164"/>
  </dataFields>
  <formats count="2">
    <format dxfId="2">
      <pivotArea outline="0" collapsedLevelsAreSubtotals="1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E80607-5DC6-4781-B401-52994D6E5FAE}" name="Table1" displayName="Table1" ref="A1:V501" totalsRowShown="0" headerRowDxfId="23" headerRowBorderDxfId="22" tableBorderDxfId="21">
  <autoFilter ref="A1:V501" xr:uid="{D0E80607-5DC6-4781-B401-52994D6E5FAE}"/>
  <tableColumns count="22">
    <tableColumn id="1" xr3:uid="{42B116A1-5D4E-42E6-BD37-04616C674269}" name="Transaction_ID">
      <calculatedColumnFormula>"TX-" &amp; TEXT(ROW(),"00000")</calculatedColumnFormula>
    </tableColumn>
    <tableColumn id="2" xr3:uid="{72F2FB99-A527-45DE-ABEE-F3B198920A85}" name="Sale_Date" dataDxfId="20"/>
    <tableColumn id="3" xr3:uid="{767F8DD8-034A-4D87-9C00-CF159DDFEA41}" name="Property_Type">
      <calculatedColumnFormula>CHOOSE(RANDBETWEEN(1,4),"Condo","House &amp; Lot","Commercial","Land")</calculatedColumnFormula>
    </tableColumn>
    <tableColumn id="4" xr3:uid="{0C6851A9-35A3-4B25-9790-2A1D2E63EB62}" name="Location_City" dataDxfId="19">
      <calculatedColumnFormula>CHOOSE(RANDBETWEEN(1,4),"Laguna","Makati","Cavite","Bulacan")</calculatedColumnFormula>
    </tableColumn>
    <tableColumn id="5" xr3:uid="{B3764396-4E57-4DEB-85EF-98ECFD524185}" name="Bedrooms" dataDxfId="18">
      <calculatedColumnFormula>RANDBETWEEN(1,4)</calculatedColumnFormula>
    </tableColumn>
    <tableColumn id="6" xr3:uid="{DB8179A4-D59F-402B-9116-C550DF7770EF}" name="Bathrooms" dataDxfId="17">
      <calculatedColumnFormula>RANDBETWEEN(1,4)</calculatedColumnFormula>
    </tableColumn>
    <tableColumn id="7" xr3:uid="{66F62286-13B8-48D3-AFEC-F5EBAA1B49D5}" name="Floor_Area_sqm">
      <calculatedColumnFormula>RANDBETWEEN(40,200)</calculatedColumnFormula>
    </tableColumn>
    <tableColumn id="8" xr3:uid="{6785ACB3-ED0F-48A1-9504-1A792CFEBB17}" name="Lot_Area_sqm">
      <calculatedColumnFormula>RANDBETWEEN(50,250)</calculatedColumnFormula>
    </tableColumn>
    <tableColumn id="9" xr3:uid="{40360163-AF9E-4FC3-9311-31566A67F65F}" name="Year_Built">
      <calculatedColumnFormula>RANDBETWEEN(2010,2023)</calculatedColumnFormula>
    </tableColumn>
    <tableColumn id="10" xr3:uid="{84BB16FF-38F0-4896-918C-1DD788AF812E}" name="Listing_Price" dataDxfId="16">
      <calculatedColumnFormula>RANDBETWEEN(2000000,15000000)</calculatedColumnFormula>
    </tableColumn>
    <tableColumn id="11" xr3:uid="{1DEB6F39-5956-4098-B146-8FAE53720CBD}" name="Sale_Price" dataDxfId="15">
      <calculatedColumnFormula>RANDBETWEEN(1500000,13000000)</calculatedColumnFormula>
    </tableColumn>
    <tableColumn id="12" xr3:uid="{743B24EB-46D7-460C-8E06-EF0A50FB2934}" name="Agent_Name">
      <calculatedColumnFormula>CHOOSE(RANDBETWEEN(1,9),"John Dela Cruz", "Michael Santos", "Mark Reyes", "Daniel Cruz", "Mary Garcia","Anna Mendoza", "Michelle Flores", "Rachel Villanueva", "Joy Ramos")</calculatedColumnFormula>
    </tableColumn>
    <tableColumn id="13" xr3:uid="{F32BF6F9-E1C8-485B-882D-163667F84B21}" name="Buyer_Type">
      <calculatedColumnFormula>CHOOSE(RANDBETWEEN(1,4),"Individual", "Corporation", "OFW", "Investor")</calculatedColumnFormula>
    </tableColumn>
    <tableColumn id="14" xr3:uid="{BBC6BAB0-A649-44CF-8C8A-E7FA45679420}" name="Payment_Method">
      <calculatedColumnFormula>CHOOSE(RANDBETWEEN(1,4),"Cash", "Bank Loan", "Pag-IBIG Loan", "Installment")</calculatedColumnFormula>
    </tableColumn>
    <tableColumn id="15" xr3:uid="{78B646B1-9779-465E-8327-3B52B0B7137D}" name="Days_on_Market" dataDxfId="14">
      <calculatedColumnFormula>RANDBETWEEN(100,400)</calculatedColumnFormula>
    </tableColumn>
    <tableColumn id="16" xr3:uid="{60CE4B31-AD55-4992-B7F2-EA23EFEA87C8}" name="Commission_PHP" dataDxfId="13">
      <calculatedColumnFormula>SUM(K2*0.03)</calculatedColumnFormula>
    </tableColumn>
    <tableColumn id="17" xr3:uid="{D9FC71A0-B145-4CBE-A4E9-057F161BE165}" name="Discount_PHP" dataDxfId="12">
      <calculatedColumnFormula>SUM(K2-J2)</calculatedColumnFormula>
    </tableColumn>
    <tableColumn id="18" xr3:uid="{CA872395-BBDA-4DFD-BA6D-E645CA51D8F1}" name="Price per sqm" dataDxfId="11">
      <calculatedColumnFormula>SUM(K2/S2)</calculatedColumnFormula>
    </tableColumn>
    <tableColumn id="19" xr3:uid="{E2C315A6-377F-46E5-958B-1CF0099A1377}" name="Effective_Area_sqm" dataDxfId="10">
      <calculatedColumnFormula>IF(C2="Condo", G2,H2)</calculatedColumnFormula>
    </tableColumn>
    <tableColumn id="20" xr3:uid="{A681A6D4-B7DB-4D4F-8CCB-D279B9D4E02E}" name="Discounted Rate" dataDxfId="9">
      <calculatedColumnFormula>SUM(J2-Q2/J2)</calculatedColumnFormula>
    </tableColumn>
    <tableColumn id="21" xr3:uid="{2BA31335-196A-4993-A7A3-16EE91BC096E}" name="Year" dataDxfId="8">
      <calculatedColumnFormula>YEAR(B2)</calculatedColumnFormula>
    </tableColumn>
    <tableColumn id="22" xr3:uid="{0762E300-6D27-4DF0-BC52-59716028B093}" name="Month" dataDxfId="7" dataCellStyle="Percent">
      <calculatedColumnFormula>TEXT(B2,"mmm-yyyy")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D74DE-85F9-4311-A28D-25F837B28B65}">
  <dimension ref="A1"/>
  <sheetViews>
    <sheetView tabSelected="1" zoomScale="85" zoomScaleNormal="85" workbookViewId="0">
      <selection activeCell="R9" sqref="R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4CA2D-6007-4DEE-B869-2EAE19A2D3AE}">
  <dimension ref="A1:V501"/>
  <sheetViews>
    <sheetView topLeftCell="L1" workbookViewId="0">
      <selection activeCell="V1" sqref="V1"/>
    </sheetView>
  </sheetViews>
  <sheetFormatPr defaultRowHeight="14.4" x14ac:dyDescent="0.3"/>
  <cols>
    <col min="1" max="1" width="17.77734375" bestFit="1" customWidth="1"/>
    <col min="2" max="2" width="13.77734375" style="6" bestFit="1" customWidth="1"/>
    <col min="3" max="3" width="18" bestFit="1" customWidth="1"/>
    <col min="4" max="4" width="16.88671875" bestFit="1" customWidth="1"/>
    <col min="5" max="5" width="14" bestFit="1" customWidth="1"/>
    <col min="6" max="6" width="14.6640625" bestFit="1" customWidth="1"/>
    <col min="7" max="7" width="19.21875" bestFit="1" customWidth="1"/>
    <col min="8" max="8" width="17.6640625" bestFit="1" customWidth="1"/>
    <col min="9" max="9" width="13.88671875" bestFit="1" customWidth="1"/>
    <col min="10" max="10" width="17.44140625" bestFit="1" customWidth="1"/>
    <col min="11" max="11" width="16.21875" style="5" bestFit="1" customWidth="1"/>
    <col min="12" max="12" width="16.44140625" bestFit="1" customWidth="1"/>
    <col min="13" max="13" width="15.44140625" bestFit="1" customWidth="1"/>
    <col min="14" max="14" width="20.88671875" bestFit="1" customWidth="1"/>
    <col min="15" max="15" width="19.88671875" style="1" bestFit="1" customWidth="1"/>
    <col min="16" max="16" width="20.21875" bestFit="1" customWidth="1"/>
    <col min="17" max="17" width="18" bestFit="1" customWidth="1"/>
    <col min="18" max="18" width="18.33203125" bestFit="1" customWidth="1"/>
    <col min="19" max="19" width="22.44140625" bestFit="1" customWidth="1"/>
    <col min="20" max="20" width="19.21875" bestFit="1" customWidth="1"/>
    <col min="21" max="21" width="9.5546875" bestFit="1" customWidth="1"/>
    <col min="22" max="22" width="21" style="21" bestFit="1" customWidth="1"/>
    <col min="23" max="23" width="26.33203125" bestFit="1" customWidth="1"/>
  </cols>
  <sheetData>
    <row r="1" spans="1:22" s="14" customFormat="1" x14ac:dyDescent="0.3">
      <c r="A1" s="10" t="s">
        <v>0</v>
      </c>
      <c r="B1" s="11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2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3" t="s">
        <v>16</v>
      </c>
      <c r="R1" s="10" t="s">
        <v>27</v>
      </c>
      <c r="S1" s="10" t="s">
        <v>28</v>
      </c>
      <c r="T1" s="10" t="s">
        <v>40</v>
      </c>
      <c r="U1" s="10" t="s">
        <v>54</v>
      </c>
      <c r="V1" s="10" t="s">
        <v>56</v>
      </c>
    </row>
    <row r="2" spans="1:22" x14ac:dyDescent="0.3">
      <c r="A2" t="str">
        <f>"TX-" &amp; TEXT(ROW(),"00000")</f>
        <v>TX-00002</v>
      </c>
      <c r="B2" s="6">
        <v>45193</v>
      </c>
      <c r="C2" t="str">
        <f t="shared" ref="C2:C65" ca="1" si="0">CHOOSE(RANDBETWEEN(1,4),"Condo","House &amp; Lot","Commercial","Land")</f>
        <v>Condo</v>
      </c>
      <c r="D2" s="1" t="str">
        <f t="shared" ref="D2:D65" ca="1" si="1">CHOOSE(RANDBETWEEN(1,4),"Laguna","Makati","Cavite","Bulacan")</f>
        <v>Makati</v>
      </c>
      <c r="E2" s="1">
        <f t="shared" ref="E2:F21" ca="1" si="2">RANDBETWEEN(1,4)</f>
        <v>4</v>
      </c>
      <c r="F2" s="1">
        <f t="shared" ca="1" si="2"/>
        <v>1</v>
      </c>
      <c r="G2">
        <f t="shared" ref="G2:G65" ca="1" si="3">RANDBETWEEN(40,200)</f>
        <v>67</v>
      </c>
      <c r="H2">
        <f t="shared" ref="H2:H65" ca="1" si="4">RANDBETWEEN(50,250)</f>
        <v>145</v>
      </c>
      <c r="I2">
        <f t="shared" ref="I2:I65" ca="1" si="5">RANDBETWEEN(2010,2023)</f>
        <v>2019</v>
      </c>
      <c r="J2" s="2">
        <f t="shared" ref="J2:J65" ca="1" si="6">RANDBETWEEN(2000000,15000000)</f>
        <v>8638305</v>
      </c>
      <c r="K2" s="4">
        <f t="shared" ref="K2:K65" ca="1" si="7">RANDBETWEEN(1500000,13000000)</f>
        <v>1559944</v>
      </c>
      <c r="L2" t="str">
        <f t="shared" ref="L2:L65" ca="1" si="8">CHOOSE(RANDBETWEEN(1,9),"John Dela Cruz", "Michael Santos", "Mark Reyes", "Daniel Cruz", "Mary Garcia","Anna Mendoza", "Michelle Flores", "Rachel Villanueva", "Joy Ramos")</f>
        <v>Rachel Villanueva</v>
      </c>
      <c r="M2" t="str">
        <f t="shared" ref="M2:M65" ca="1" si="9">CHOOSE(RANDBETWEEN(1,4),"Individual", "Corporation", "OFW", "Investor")</f>
        <v>Investor</v>
      </c>
      <c r="N2" t="str">
        <f t="shared" ref="N2:N65" ca="1" si="10">CHOOSE(RANDBETWEEN(1,4),"Cash", "Bank Loan", "Pag-IBIG Loan", "Installment")</f>
        <v>Pag-IBIG Loan</v>
      </c>
      <c r="O2" s="1">
        <f t="shared" ref="O2:O65" ca="1" si="11">RANDBETWEEN(100,400)</f>
        <v>229</v>
      </c>
      <c r="P2" s="2">
        <f t="shared" ref="P2:P65" ca="1" si="12">SUM(K2*0.03)</f>
        <v>46798.32</v>
      </c>
      <c r="Q2" s="2">
        <f t="shared" ref="Q2:Q65" ca="1" si="13">SUM(K2-J2)</f>
        <v>-7078361</v>
      </c>
      <c r="R2" s="3">
        <f ca="1">SUM(K2/S2)</f>
        <v>23282.746268656716</v>
      </c>
      <c r="S2">
        <f t="shared" ref="S2:S65" ca="1" si="14">IF(C2="Condo", G2,H2)</f>
        <v>67</v>
      </c>
      <c r="T2" s="3">
        <f ca="1">SUM(J2-Q2/J2)</f>
        <v>8638305.8194154985</v>
      </c>
      <c r="U2" s="17">
        <f>YEAR(B2)</f>
        <v>2023</v>
      </c>
      <c r="V2" s="20" t="str">
        <f t="shared" ref="V2:V65" si="15">TEXT(B2,"mmm-yyyy")</f>
        <v>Sep-2023</v>
      </c>
    </row>
    <row r="3" spans="1:22" x14ac:dyDescent="0.3">
      <c r="A3" t="str">
        <f t="shared" ref="A3:A66" si="16">"TX-" &amp; TEXT(ROW(),"00000")</f>
        <v>TX-00003</v>
      </c>
      <c r="B3" s="6">
        <v>45418</v>
      </c>
      <c r="C3" t="str">
        <f t="shared" ca="1" si="0"/>
        <v>Commercial</v>
      </c>
      <c r="D3" s="1" t="str">
        <f t="shared" ca="1" si="1"/>
        <v>Bulacan</v>
      </c>
      <c r="E3" s="1">
        <f t="shared" ca="1" si="2"/>
        <v>3</v>
      </c>
      <c r="F3" s="1">
        <f t="shared" ca="1" si="2"/>
        <v>2</v>
      </c>
      <c r="G3">
        <f t="shared" ca="1" si="3"/>
        <v>94</v>
      </c>
      <c r="H3">
        <f t="shared" ca="1" si="4"/>
        <v>158</v>
      </c>
      <c r="I3">
        <f t="shared" ca="1" si="5"/>
        <v>2023</v>
      </c>
      <c r="J3" s="2">
        <f t="shared" ca="1" si="6"/>
        <v>9758196</v>
      </c>
      <c r="K3" s="4">
        <f t="shared" ca="1" si="7"/>
        <v>11951206</v>
      </c>
      <c r="L3" t="str">
        <f t="shared" ca="1" si="8"/>
        <v>Rachel Villanueva</v>
      </c>
      <c r="M3" t="str">
        <f t="shared" ca="1" si="9"/>
        <v>OFW</v>
      </c>
      <c r="N3" t="str">
        <f t="shared" ca="1" si="10"/>
        <v>Cash</v>
      </c>
      <c r="O3" s="1">
        <f t="shared" ca="1" si="11"/>
        <v>398</v>
      </c>
      <c r="P3" s="2">
        <f t="shared" ca="1" si="12"/>
        <v>358536.18</v>
      </c>
      <c r="Q3" s="2">
        <f t="shared" ca="1" si="13"/>
        <v>2193010</v>
      </c>
      <c r="R3" s="3">
        <f t="shared" ref="R3:R65" ca="1" si="17">SUM(K3/S3)</f>
        <v>75640.544303797462</v>
      </c>
      <c r="S3">
        <f t="shared" ca="1" si="14"/>
        <v>158</v>
      </c>
      <c r="T3" s="2">
        <f t="shared" ref="T3:T65" ca="1" si="18">SUM(J3-Q3/J3)</f>
        <v>9758195.7752648126</v>
      </c>
      <c r="U3" s="17">
        <f t="shared" ref="U3:U66" si="19">YEAR(B3)</f>
        <v>2024</v>
      </c>
      <c r="V3" s="20" t="str">
        <f t="shared" si="15"/>
        <v>May-2024</v>
      </c>
    </row>
    <row r="4" spans="1:22" x14ac:dyDescent="0.3">
      <c r="A4" t="str">
        <f t="shared" si="16"/>
        <v>TX-00004</v>
      </c>
      <c r="B4" s="6">
        <v>45118</v>
      </c>
      <c r="C4" t="str">
        <f t="shared" ca="1" si="0"/>
        <v>Condo</v>
      </c>
      <c r="D4" s="1" t="str">
        <f t="shared" ca="1" si="1"/>
        <v>Makati</v>
      </c>
      <c r="E4" s="1">
        <f t="shared" ca="1" si="2"/>
        <v>4</v>
      </c>
      <c r="F4" s="1">
        <f t="shared" ca="1" si="2"/>
        <v>2</v>
      </c>
      <c r="G4">
        <f t="shared" ca="1" si="3"/>
        <v>67</v>
      </c>
      <c r="H4">
        <f t="shared" ca="1" si="4"/>
        <v>178</v>
      </c>
      <c r="I4">
        <f t="shared" ca="1" si="5"/>
        <v>2020</v>
      </c>
      <c r="J4" s="2">
        <f t="shared" ca="1" si="6"/>
        <v>6492773</v>
      </c>
      <c r="K4" s="4">
        <f t="shared" ca="1" si="7"/>
        <v>8758263</v>
      </c>
      <c r="L4" t="str">
        <f t="shared" ca="1" si="8"/>
        <v>John Dela Cruz</v>
      </c>
      <c r="M4" t="str">
        <f t="shared" ca="1" si="9"/>
        <v>OFW</v>
      </c>
      <c r="N4" t="str">
        <f t="shared" ca="1" si="10"/>
        <v>Cash</v>
      </c>
      <c r="O4" s="1">
        <f t="shared" ca="1" si="11"/>
        <v>125</v>
      </c>
      <c r="P4" s="2">
        <f t="shared" ca="1" si="12"/>
        <v>262747.89</v>
      </c>
      <c r="Q4" s="2">
        <f t="shared" ca="1" si="13"/>
        <v>2265490</v>
      </c>
      <c r="R4" s="3">
        <f t="shared" ca="1" si="17"/>
        <v>130720.34328358209</v>
      </c>
      <c r="S4">
        <f t="shared" ca="1" si="14"/>
        <v>67</v>
      </c>
      <c r="T4" s="2">
        <f t="shared" ca="1" si="18"/>
        <v>6492772.6510751266</v>
      </c>
      <c r="U4" s="17">
        <f t="shared" si="19"/>
        <v>2023</v>
      </c>
      <c r="V4" s="20" t="str">
        <f t="shared" si="15"/>
        <v>Jul-2023</v>
      </c>
    </row>
    <row r="5" spans="1:22" x14ac:dyDescent="0.3">
      <c r="A5" t="str">
        <f t="shared" si="16"/>
        <v>TX-00005</v>
      </c>
      <c r="B5" s="6">
        <v>45325</v>
      </c>
      <c r="C5" t="str">
        <f t="shared" ca="1" si="0"/>
        <v>Land</v>
      </c>
      <c r="D5" s="1" t="str">
        <f t="shared" ca="1" si="1"/>
        <v>Bulacan</v>
      </c>
      <c r="E5" s="1">
        <f t="shared" ca="1" si="2"/>
        <v>3</v>
      </c>
      <c r="F5" s="1">
        <f t="shared" ca="1" si="2"/>
        <v>3</v>
      </c>
      <c r="G5">
        <f t="shared" ca="1" si="3"/>
        <v>167</v>
      </c>
      <c r="H5">
        <f t="shared" ca="1" si="4"/>
        <v>55</v>
      </c>
      <c r="I5">
        <f t="shared" ca="1" si="5"/>
        <v>2020</v>
      </c>
      <c r="J5" s="2">
        <f t="shared" ca="1" si="6"/>
        <v>7683432</v>
      </c>
      <c r="K5" s="4">
        <f t="shared" ca="1" si="7"/>
        <v>9604262</v>
      </c>
      <c r="L5" t="str">
        <f t="shared" ca="1" si="8"/>
        <v>Anna Mendoza</v>
      </c>
      <c r="M5" t="str">
        <f t="shared" ca="1" si="9"/>
        <v>OFW</v>
      </c>
      <c r="N5" t="str">
        <f t="shared" ca="1" si="10"/>
        <v>Cash</v>
      </c>
      <c r="O5" s="1">
        <f t="shared" ca="1" si="11"/>
        <v>208</v>
      </c>
      <c r="P5" s="2">
        <f t="shared" ca="1" si="12"/>
        <v>288127.86</v>
      </c>
      <c r="Q5" s="2">
        <f t="shared" ca="1" si="13"/>
        <v>1920830</v>
      </c>
      <c r="R5" s="3">
        <f t="shared" ca="1" si="17"/>
        <v>174622.94545454546</v>
      </c>
      <c r="S5">
        <f t="shared" ca="1" si="14"/>
        <v>55</v>
      </c>
      <c r="T5" s="2">
        <f t="shared" ca="1" si="18"/>
        <v>7683431.7500036443</v>
      </c>
      <c r="U5" s="17">
        <f t="shared" si="19"/>
        <v>2024</v>
      </c>
      <c r="V5" s="20" t="str">
        <f t="shared" si="15"/>
        <v>Feb-2024</v>
      </c>
    </row>
    <row r="6" spans="1:22" x14ac:dyDescent="0.3">
      <c r="A6" t="str">
        <f t="shared" si="16"/>
        <v>TX-00006</v>
      </c>
      <c r="B6" s="6">
        <v>45356</v>
      </c>
      <c r="C6" t="str">
        <f t="shared" ca="1" si="0"/>
        <v>Condo</v>
      </c>
      <c r="D6" s="1" t="str">
        <f t="shared" ca="1" si="1"/>
        <v>Makati</v>
      </c>
      <c r="E6" s="1">
        <f t="shared" ca="1" si="2"/>
        <v>3</v>
      </c>
      <c r="F6" s="1">
        <f t="shared" ca="1" si="2"/>
        <v>1</v>
      </c>
      <c r="G6">
        <f t="shared" ca="1" si="3"/>
        <v>124</v>
      </c>
      <c r="H6">
        <f t="shared" ca="1" si="4"/>
        <v>136</v>
      </c>
      <c r="I6">
        <f t="shared" ca="1" si="5"/>
        <v>2021</v>
      </c>
      <c r="J6" s="2">
        <f t="shared" ca="1" si="6"/>
        <v>5257323</v>
      </c>
      <c r="K6" s="4">
        <f t="shared" ca="1" si="7"/>
        <v>8367547</v>
      </c>
      <c r="L6" t="str">
        <f t="shared" ca="1" si="8"/>
        <v>Michael Santos</v>
      </c>
      <c r="M6" t="str">
        <f t="shared" ca="1" si="9"/>
        <v>Investor</v>
      </c>
      <c r="N6" t="str">
        <f t="shared" ca="1" si="10"/>
        <v>Installment</v>
      </c>
      <c r="O6" s="1">
        <f t="shared" ca="1" si="11"/>
        <v>342</v>
      </c>
      <c r="P6" s="2">
        <f t="shared" ca="1" si="12"/>
        <v>251026.41</v>
      </c>
      <c r="Q6" s="2">
        <f t="shared" ca="1" si="13"/>
        <v>3110224</v>
      </c>
      <c r="R6" s="3">
        <f t="shared" ca="1" si="17"/>
        <v>67480.217741935485</v>
      </c>
      <c r="S6">
        <f t="shared" ca="1" si="14"/>
        <v>124</v>
      </c>
      <c r="T6" s="2">
        <f t="shared" ca="1" si="18"/>
        <v>5257322.4084015759</v>
      </c>
      <c r="U6" s="17">
        <f t="shared" si="19"/>
        <v>2024</v>
      </c>
      <c r="V6" s="20" t="str">
        <f t="shared" si="15"/>
        <v>Mar-2024</v>
      </c>
    </row>
    <row r="7" spans="1:22" x14ac:dyDescent="0.3">
      <c r="A7" t="str">
        <f t="shared" si="16"/>
        <v>TX-00007</v>
      </c>
      <c r="B7" s="6">
        <v>44837</v>
      </c>
      <c r="C7" t="str">
        <f t="shared" ca="1" si="0"/>
        <v>House &amp; Lot</v>
      </c>
      <c r="D7" s="1" t="str">
        <f t="shared" ca="1" si="1"/>
        <v>Cavite</v>
      </c>
      <c r="E7" s="1">
        <f t="shared" ca="1" si="2"/>
        <v>4</v>
      </c>
      <c r="F7" s="1">
        <f t="shared" ca="1" si="2"/>
        <v>1</v>
      </c>
      <c r="G7">
        <f t="shared" ca="1" si="3"/>
        <v>74</v>
      </c>
      <c r="H7">
        <f t="shared" ca="1" si="4"/>
        <v>66</v>
      </c>
      <c r="I7">
        <f t="shared" ca="1" si="5"/>
        <v>2015</v>
      </c>
      <c r="J7" s="2">
        <f t="shared" ca="1" si="6"/>
        <v>6911548</v>
      </c>
      <c r="K7" s="8">
        <f t="shared" ca="1" si="7"/>
        <v>2423993</v>
      </c>
      <c r="L7" t="str">
        <f t="shared" ca="1" si="8"/>
        <v>Michael Santos</v>
      </c>
      <c r="M7" t="str">
        <f t="shared" ca="1" si="9"/>
        <v>OFW</v>
      </c>
      <c r="N7" t="str">
        <f t="shared" ca="1" si="10"/>
        <v>Installment</v>
      </c>
      <c r="O7" s="1">
        <f t="shared" ca="1" si="11"/>
        <v>380</v>
      </c>
      <c r="P7" s="2">
        <f t="shared" ca="1" si="12"/>
        <v>72719.789999999994</v>
      </c>
      <c r="Q7" s="2">
        <f t="shared" ca="1" si="13"/>
        <v>-4487555</v>
      </c>
      <c r="R7" s="3">
        <f t="shared" ca="1" si="17"/>
        <v>36727.166666666664</v>
      </c>
      <c r="S7">
        <f t="shared" ca="1" si="14"/>
        <v>66</v>
      </c>
      <c r="T7" s="2">
        <f t="shared" ca="1" si="18"/>
        <v>6911548.6492836336</v>
      </c>
      <c r="U7" s="17">
        <f t="shared" si="19"/>
        <v>2022</v>
      </c>
      <c r="V7" s="20" t="str">
        <f t="shared" si="15"/>
        <v>Oct-2022</v>
      </c>
    </row>
    <row r="8" spans="1:22" x14ac:dyDescent="0.3">
      <c r="A8" t="str">
        <f t="shared" si="16"/>
        <v>TX-00008</v>
      </c>
      <c r="B8" s="6">
        <v>45222</v>
      </c>
      <c r="C8" t="str">
        <f t="shared" ca="1" si="0"/>
        <v>House &amp; Lot</v>
      </c>
      <c r="D8" s="1" t="str">
        <f t="shared" ca="1" si="1"/>
        <v>Makati</v>
      </c>
      <c r="E8" s="1">
        <f t="shared" ca="1" si="2"/>
        <v>2</v>
      </c>
      <c r="F8" s="1">
        <f t="shared" ca="1" si="2"/>
        <v>2</v>
      </c>
      <c r="G8">
        <f t="shared" ca="1" si="3"/>
        <v>126</v>
      </c>
      <c r="H8">
        <f t="shared" ca="1" si="4"/>
        <v>176</v>
      </c>
      <c r="I8">
        <f t="shared" ca="1" si="5"/>
        <v>2018</v>
      </c>
      <c r="J8" s="2">
        <f t="shared" ca="1" si="6"/>
        <v>9418445</v>
      </c>
      <c r="K8" s="4">
        <f t="shared" ca="1" si="7"/>
        <v>7433247</v>
      </c>
      <c r="L8" t="str">
        <f t="shared" ca="1" si="8"/>
        <v>Mark Reyes</v>
      </c>
      <c r="M8" t="str">
        <f t="shared" ca="1" si="9"/>
        <v>Corporation</v>
      </c>
      <c r="N8" t="str">
        <f t="shared" ca="1" si="10"/>
        <v>Cash</v>
      </c>
      <c r="O8" s="1">
        <f t="shared" ca="1" si="11"/>
        <v>189</v>
      </c>
      <c r="P8" s="2">
        <f t="shared" ca="1" si="12"/>
        <v>222997.41</v>
      </c>
      <c r="Q8" s="2">
        <f t="shared" ca="1" si="13"/>
        <v>-1985198</v>
      </c>
      <c r="R8" s="3">
        <f t="shared" ca="1" si="17"/>
        <v>42234.357954545456</v>
      </c>
      <c r="S8">
        <f t="shared" ca="1" si="14"/>
        <v>176</v>
      </c>
      <c r="T8" s="2">
        <f t="shared" ca="1" si="18"/>
        <v>9418445.2107776813</v>
      </c>
      <c r="U8" s="17">
        <f t="shared" si="19"/>
        <v>2023</v>
      </c>
      <c r="V8" s="20" t="str">
        <f t="shared" si="15"/>
        <v>Oct-2023</v>
      </c>
    </row>
    <row r="9" spans="1:22" x14ac:dyDescent="0.3">
      <c r="A9" t="str">
        <f t="shared" si="16"/>
        <v>TX-00009</v>
      </c>
      <c r="B9" s="6">
        <v>45741</v>
      </c>
      <c r="C9" t="str">
        <f t="shared" ca="1" si="0"/>
        <v>Commercial</v>
      </c>
      <c r="D9" s="1" t="str">
        <f t="shared" ca="1" si="1"/>
        <v>Laguna</v>
      </c>
      <c r="E9" s="1">
        <f t="shared" ca="1" si="2"/>
        <v>1</v>
      </c>
      <c r="F9" s="1">
        <f t="shared" ca="1" si="2"/>
        <v>1</v>
      </c>
      <c r="G9">
        <f t="shared" ca="1" si="3"/>
        <v>192</v>
      </c>
      <c r="H9">
        <f t="shared" ca="1" si="4"/>
        <v>186</v>
      </c>
      <c r="I9">
        <f t="shared" ca="1" si="5"/>
        <v>2023</v>
      </c>
      <c r="J9" s="2">
        <f t="shared" ca="1" si="6"/>
        <v>14467178</v>
      </c>
      <c r="K9" s="4">
        <f t="shared" ca="1" si="7"/>
        <v>4925196</v>
      </c>
      <c r="L9" t="str">
        <f t="shared" ca="1" si="8"/>
        <v>Mary Garcia</v>
      </c>
      <c r="M9" t="str">
        <f t="shared" ca="1" si="9"/>
        <v>Investor</v>
      </c>
      <c r="N9" t="str">
        <f t="shared" ca="1" si="10"/>
        <v>Cash</v>
      </c>
      <c r="O9" s="1">
        <f t="shared" ca="1" si="11"/>
        <v>236</v>
      </c>
      <c r="P9" s="2">
        <f t="shared" ca="1" si="12"/>
        <v>147755.88</v>
      </c>
      <c r="Q9" s="2">
        <f t="shared" ca="1" si="13"/>
        <v>-9541982</v>
      </c>
      <c r="R9" s="3">
        <f t="shared" ca="1" si="17"/>
        <v>26479.548387096773</v>
      </c>
      <c r="S9">
        <f t="shared" ca="1" si="14"/>
        <v>186</v>
      </c>
      <c r="T9" s="2">
        <f t="shared" ca="1" si="18"/>
        <v>14467178.659560697</v>
      </c>
      <c r="U9" s="17">
        <f t="shared" si="19"/>
        <v>2025</v>
      </c>
      <c r="V9" s="20" t="str">
        <f t="shared" si="15"/>
        <v>Mar-2025</v>
      </c>
    </row>
    <row r="10" spans="1:22" x14ac:dyDescent="0.3">
      <c r="A10" t="str">
        <f t="shared" si="16"/>
        <v>TX-00010</v>
      </c>
      <c r="B10" s="6">
        <v>44003</v>
      </c>
      <c r="C10" t="str">
        <f t="shared" ca="1" si="0"/>
        <v>Land</v>
      </c>
      <c r="D10" s="1" t="str">
        <f t="shared" ca="1" si="1"/>
        <v>Cavite</v>
      </c>
      <c r="E10" s="1">
        <f t="shared" ca="1" si="2"/>
        <v>2</v>
      </c>
      <c r="F10" s="1">
        <f t="shared" ca="1" si="2"/>
        <v>4</v>
      </c>
      <c r="G10">
        <f t="shared" ca="1" si="3"/>
        <v>176</v>
      </c>
      <c r="H10">
        <f t="shared" ca="1" si="4"/>
        <v>239</v>
      </c>
      <c r="I10">
        <f t="shared" ca="1" si="5"/>
        <v>2010</v>
      </c>
      <c r="J10" s="2">
        <f t="shared" ca="1" si="6"/>
        <v>6594967</v>
      </c>
      <c r="K10" s="4">
        <f t="shared" ca="1" si="7"/>
        <v>11089960</v>
      </c>
      <c r="L10" t="str">
        <f t="shared" ca="1" si="8"/>
        <v>Michelle Flores</v>
      </c>
      <c r="M10" t="str">
        <f t="shared" ca="1" si="9"/>
        <v>Investor</v>
      </c>
      <c r="N10" t="str">
        <f t="shared" ca="1" si="10"/>
        <v>Installment</v>
      </c>
      <c r="O10" s="1">
        <f t="shared" ca="1" si="11"/>
        <v>286</v>
      </c>
      <c r="P10" s="2">
        <f t="shared" ca="1" si="12"/>
        <v>332698.8</v>
      </c>
      <c r="Q10" s="2">
        <f t="shared" ca="1" si="13"/>
        <v>4494993</v>
      </c>
      <c r="R10" s="3">
        <f t="shared" ca="1" si="17"/>
        <v>46401.506276150627</v>
      </c>
      <c r="S10">
        <f t="shared" ca="1" si="14"/>
        <v>239</v>
      </c>
      <c r="T10" s="2">
        <f t="shared" ca="1" si="18"/>
        <v>6594966.3184206989</v>
      </c>
      <c r="U10" s="17">
        <f t="shared" si="19"/>
        <v>2020</v>
      </c>
      <c r="V10" s="20" t="str">
        <f t="shared" si="15"/>
        <v>Jun-2020</v>
      </c>
    </row>
    <row r="11" spans="1:22" x14ac:dyDescent="0.3">
      <c r="A11" t="str">
        <f t="shared" si="16"/>
        <v>TX-00011</v>
      </c>
      <c r="B11" s="6">
        <v>44461</v>
      </c>
      <c r="C11" s="7" t="str">
        <f t="shared" ca="1" si="0"/>
        <v>Commercial</v>
      </c>
      <c r="D11" s="1" t="str">
        <f t="shared" ca="1" si="1"/>
        <v>Bulacan</v>
      </c>
      <c r="E11" s="1">
        <f t="shared" ca="1" si="2"/>
        <v>2</v>
      </c>
      <c r="F11" s="1">
        <f t="shared" ca="1" si="2"/>
        <v>4</v>
      </c>
      <c r="G11">
        <f t="shared" ca="1" si="3"/>
        <v>149</v>
      </c>
      <c r="H11">
        <f t="shared" ca="1" si="4"/>
        <v>168</v>
      </c>
      <c r="I11">
        <f t="shared" ca="1" si="5"/>
        <v>2013</v>
      </c>
      <c r="J11" s="2">
        <f t="shared" ca="1" si="6"/>
        <v>3820533</v>
      </c>
      <c r="K11" s="4">
        <f t="shared" ca="1" si="7"/>
        <v>9949399</v>
      </c>
      <c r="L11" t="str">
        <f t="shared" ca="1" si="8"/>
        <v>Michael Santos</v>
      </c>
      <c r="M11" t="str">
        <f t="shared" ca="1" si="9"/>
        <v>OFW</v>
      </c>
      <c r="N11" t="str">
        <f t="shared" ca="1" si="10"/>
        <v>Cash</v>
      </c>
      <c r="O11" s="1">
        <f t="shared" ca="1" si="11"/>
        <v>248</v>
      </c>
      <c r="P11" s="2">
        <f t="shared" ca="1" si="12"/>
        <v>298481.96999999997</v>
      </c>
      <c r="Q11" s="2">
        <f t="shared" ca="1" si="13"/>
        <v>6128866</v>
      </c>
      <c r="R11" s="3">
        <f t="shared" ca="1" si="17"/>
        <v>59222.613095238092</v>
      </c>
      <c r="S11">
        <f t="shared" ca="1" si="14"/>
        <v>168</v>
      </c>
      <c r="T11" s="2">
        <f t="shared" ca="1" si="18"/>
        <v>3820531.3958086479</v>
      </c>
      <c r="U11" s="17">
        <f t="shared" si="19"/>
        <v>2021</v>
      </c>
      <c r="V11" s="20" t="str">
        <f t="shared" si="15"/>
        <v>Sep-2021</v>
      </c>
    </row>
    <row r="12" spans="1:22" x14ac:dyDescent="0.3">
      <c r="A12" t="str">
        <f t="shared" si="16"/>
        <v>TX-00012</v>
      </c>
      <c r="B12" s="6">
        <v>43939</v>
      </c>
      <c r="C12" t="str">
        <f t="shared" ca="1" si="0"/>
        <v>Commercial</v>
      </c>
      <c r="D12" s="1" t="str">
        <f t="shared" ca="1" si="1"/>
        <v>Makati</v>
      </c>
      <c r="E12" s="1">
        <f t="shared" ca="1" si="2"/>
        <v>1</v>
      </c>
      <c r="F12" s="1">
        <f t="shared" ca="1" si="2"/>
        <v>2</v>
      </c>
      <c r="G12">
        <f t="shared" ca="1" si="3"/>
        <v>43</v>
      </c>
      <c r="H12">
        <f t="shared" ca="1" si="4"/>
        <v>173</v>
      </c>
      <c r="I12">
        <f t="shared" ca="1" si="5"/>
        <v>2015</v>
      </c>
      <c r="J12" s="2">
        <f t="shared" ca="1" si="6"/>
        <v>3278908</v>
      </c>
      <c r="K12" s="4">
        <f t="shared" ca="1" si="7"/>
        <v>4566983</v>
      </c>
      <c r="L12" t="str">
        <f t="shared" ca="1" si="8"/>
        <v>Daniel Cruz</v>
      </c>
      <c r="M12" t="str">
        <f t="shared" ca="1" si="9"/>
        <v>Investor</v>
      </c>
      <c r="N12" t="str">
        <f t="shared" ca="1" si="10"/>
        <v>Installment</v>
      </c>
      <c r="O12" s="1">
        <f t="shared" ca="1" si="11"/>
        <v>148</v>
      </c>
      <c r="P12" s="2">
        <f t="shared" ca="1" si="12"/>
        <v>137009.49</v>
      </c>
      <c r="Q12" s="2">
        <f t="shared" ca="1" si="13"/>
        <v>1288075</v>
      </c>
      <c r="R12" s="3">
        <f t="shared" ca="1" si="17"/>
        <v>26398.745664739883</v>
      </c>
      <c r="S12">
        <f t="shared" ca="1" si="14"/>
        <v>173</v>
      </c>
      <c r="T12" s="2">
        <f t="shared" ca="1" si="18"/>
        <v>3278907.6071634213</v>
      </c>
      <c r="U12" s="17">
        <f t="shared" si="19"/>
        <v>2020</v>
      </c>
      <c r="V12" s="20" t="str">
        <f t="shared" si="15"/>
        <v>Apr-2020</v>
      </c>
    </row>
    <row r="13" spans="1:22" x14ac:dyDescent="0.3">
      <c r="A13" t="str">
        <f t="shared" si="16"/>
        <v>TX-00013</v>
      </c>
      <c r="B13" s="6">
        <v>43281</v>
      </c>
      <c r="C13" t="str">
        <f t="shared" ca="1" si="0"/>
        <v>Commercial</v>
      </c>
      <c r="D13" s="1" t="str">
        <f t="shared" ca="1" si="1"/>
        <v>Bulacan</v>
      </c>
      <c r="E13" s="1">
        <f t="shared" ca="1" si="2"/>
        <v>2</v>
      </c>
      <c r="F13" s="1">
        <f t="shared" ca="1" si="2"/>
        <v>2</v>
      </c>
      <c r="G13">
        <f t="shared" ca="1" si="3"/>
        <v>78</v>
      </c>
      <c r="H13">
        <f t="shared" ca="1" si="4"/>
        <v>242</v>
      </c>
      <c r="I13">
        <f t="shared" ca="1" si="5"/>
        <v>2013</v>
      </c>
      <c r="J13" s="2">
        <f t="shared" ca="1" si="6"/>
        <v>6526126</v>
      </c>
      <c r="K13" s="4">
        <f t="shared" ca="1" si="7"/>
        <v>1976751</v>
      </c>
      <c r="L13" t="str">
        <f t="shared" ca="1" si="8"/>
        <v>Mary Garcia</v>
      </c>
      <c r="M13" t="str">
        <f t="shared" ca="1" si="9"/>
        <v>Corporation</v>
      </c>
      <c r="N13" t="str">
        <f t="shared" ca="1" si="10"/>
        <v>Installment</v>
      </c>
      <c r="O13" s="1">
        <f t="shared" ca="1" si="11"/>
        <v>129</v>
      </c>
      <c r="P13" s="2">
        <f t="shared" ca="1" si="12"/>
        <v>59302.53</v>
      </c>
      <c r="Q13" s="2">
        <f t="shared" ca="1" si="13"/>
        <v>-4549375</v>
      </c>
      <c r="R13" s="3">
        <f t="shared" ca="1" si="17"/>
        <v>8168.3925619834708</v>
      </c>
      <c r="S13">
        <f t="shared" ca="1" si="14"/>
        <v>242</v>
      </c>
      <c r="T13" s="2">
        <f t="shared" ca="1" si="18"/>
        <v>6526126.6971019255</v>
      </c>
      <c r="U13" s="17">
        <f t="shared" si="19"/>
        <v>2018</v>
      </c>
      <c r="V13" s="20" t="str">
        <f t="shared" si="15"/>
        <v>Jun-2018</v>
      </c>
    </row>
    <row r="14" spans="1:22" x14ac:dyDescent="0.3">
      <c r="A14" t="str">
        <f t="shared" si="16"/>
        <v>TX-00014</v>
      </c>
      <c r="B14" s="6">
        <v>45542</v>
      </c>
      <c r="C14" t="str">
        <f t="shared" ca="1" si="0"/>
        <v>Commercial</v>
      </c>
      <c r="D14" s="1" t="str">
        <f t="shared" ca="1" si="1"/>
        <v>Laguna</v>
      </c>
      <c r="E14" s="1">
        <f t="shared" ca="1" si="2"/>
        <v>4</v>
      </c>
      <c r="F14" s="1">
        <f t="shared" ca="1" si="2"/>
        <v>4</v>
      </c>
      <c r="G14">
        <f t="shared" ca="1" si="3"/>
        <v>44</v>
      </c>
      <c r="H14">
        <f t="shared" ca="1" si="4"/>
        <v>249</v>
      </c>
      <c r="I14">
        <f t="shared" ca="1" si="5"/>
        <v>2013</v>
      </c>
      <c r="J14" s="2">
        <f t="shared" ca="1" si="6"/>
        <v>8620472</v>
      </c>
      <c r="K14" s="4">
        <f t="shared" ca="1" si="7"/>
        <v>3005826</v>
      </c>
      <c r="L14" t="str">
        <f t="shared" ca="1" si="8"/>
        <v>Anna Mendoza</v>
      </c>
      <c r="M14" t="str">
        <f t="shared" ca="1" si="9"/>
        <v>Individual</v>
      </c>
      <c r="N14" t="str">
        <f t="shared" ca="1" si="10"/>
        <v>Installment</v>
      </c>
      <c r="O14" s="1">
        <f t="shared" ca="1" si="11"/>
        <v>367</v>
      </c>
      <c r="P14" s="2">
        <f t="shared" ca="1" si="12"/>
        <v>90174.78</v>
      </c>
      <c r="Q14" s="2">
        <f t="shared" ca="1" si="13"/>
        <v>-5614646</v>
      </c>
      <c r="R14" s="3">
        <f t="shared" ca="1" si="17"/>
        <v>12071.590361445784</v>
      </c>
      <c r="S14">
        <f t="shared" ca="1" si="14"/>
        <v>249</v>
      </c>
      <c r="T14" s="2">
        <f t="shared" ca="1" si="18"/>
        <v>8620472.6513153799</v>
      </c>
      <c r="U14" s="17">
        <f t="shared" si="19"/>
        <v>2024</v>
      </c>
      <c r="V14" s="20" t="str">
        <f t="shared" si="15"/>
        <v>Sep-2024</v>
      </c>
    </row>
    <row r="15" spans="1:22" x14ac:dyDescent="0.3">
      <c r="A15" t="str">
        <f t="shared" si="16"/>
        <v>TX-00015</v>
      </c>
      <c r="B15" s="6">
        <v>45561</v>
      </c>
      <c r="C15" t="str">
        <f t="shared" ca="1" si="0"/>
        <v>Condo</v>
      </c>
      <c r="D15" s="1" t="str">
        <f t="shared" ca="1" si="1"/>
        <v>Cavite</v>
      </c>
      <c r="E15" s="1">
        <f t="shared" ca="1" si="2"/>
        <v>3</v>
      </c>
      <c r="F15" s="1">
        <f t="shared" ca="1" si="2"/>
        <v>3</v>
      </c>
      <c r="G15">
        <f t="shared" ca="1" si="3"/>
        <v>183</v>
      </c>
      <c r="H15">
        <f t="shared" ca="1" si="4"/>
        <v>140</v>
      </c>
      <c r="I15">
        <f t="shared" ca="1" si="5"/>
        <v>2017</v>
      </c>
      <c r="J15" s="2">
        <f t="shared" ca="1" si="6"/>
        <v>8079335</v>
      </c>
      <c r="K15" s="4">
        <f t="shared" ca="1" si="7"/>
        <v>10550543</v>
      </c>
      <c r="L15" t="str">
        <f t="shared" ca="1" si="8"/>
        <v>Joy Ramos</v>
      </c>
      <c r="M15" t="str">
        <f t="shared" ca="1" si="9"/>
        <v>Investor</v>
      </c>
      <c r="N15" t="str">
        <f t="shared" ca="1" si="10"/>
        <v>Bank Loan</v>
      </c>
      <c r="O15" s="1">
        <f t="shared" ca="1" si="11"/>
        <v>162</v>
      </c>
      <c r="P15" s="2">
        <f t="shared" ca="1" si="12"/>
        <v>316516.28999999998</v>
      </c>
      <c r="Q15" s="2">
        <f t="shared" ca="1" si="13"/>
        <v>2471208</v>
      </c>
      <c r="R15" s="3">
        <f t="shared" ca="1" si="17"/>
        <v>57653.240437158471</v>
      </c>
      <c r="S15">
        <f t="shared" ca="1" si="14"/>
        <v>183</v>
      </c>
      <c r="T15" s="2">
        <f t="shared" ca="1" si="18"/>
        <v>8079334.6941322526</v>
      </c>
      <c r="U15" s="17">
        <f t="shared" si="19"/>
        <v>2024</v>
      </c>
      <c r="V15" s="20" t="str">
        <f t="shared" si="15"/>
        <v>Sep-2024</v>
      </c>
    </row>
    <row r="16" spans="1:22" x14ac:dyDescent="0.3">
      <c r="A16" t="str">
        <f t="shared" si="16"/>
        <v>TX-00016</v>
      </c>
      <c r="B16" s="6">
        <v>44771</v>
      </c>
      <c r="C16" t="str">
        <f t="shared" ca="1" si="0"/>
        <v>House &amp; Lot</v>
      </c>
      <c r="D16" s="1" t="str">
        <f t="shared" ca="1" si="1"/>
        <v>Laguna</v>
      </c>
      <c r="E16" s="1">
        <f t="shared" ca="1" si="2"/>
        <v>4</v>
      </c>
      <c r="F16" s="1">
        <f t="shared" ca="1" si="2"/>
        <v>1</v>
      </c>
      <c r="G16">
        <f t="shared" ca="1" si="3"/>
        <v>177</v>
      </c>
      <c r="H16">
        <f t="shared" ca="1" si="4"/>
        <v>154</v>
      </c>
      <c r="I16">
        <f t="shared" ca="1" si="5"/>
        <v>2012</v>
      </c>
      <c r="J16" s="2">
        <f t="shared" ca="1" si="6"/>
        <v>7432504</v>
      </c>
      <c r="K16" s="4">
        <f t="shared" ca="1" si="7"/>
        <v>9753420</v>
      </c>
      <c r="L16" t="str">
        <f t="shared" ca="1" si="8"/>
        <v>Joy Ramos</v>
      </c>
      <c r="M16" t="str">
        <f t="shared" ca="1" si="9"/>
        <v>Individual</v>
      </c>
      <c r="N16" t="str">
        <f t="shared" ca="1" si="10"/>
        <v>Pag-IBIG Loan</v>
      </c>
      <c r="O16" s="1">
        <f t="shared" ca="1" si="11"/>
        <v>155</v>
      </c>
      <c r="P16" s="2">
        <f t="shared" ca="1" si="12"/>
        <v>292602.59999999998</v>
      </c>
      <c r="Q16" s="2">
        <f t="shared" ca="1" si="13"/>
        <v>2320916</v>
      </c>
      <c r="R16" s="3">
        <f t="shared" ca="1" si="17"/>
        <v>63333.896103896106</v>
      </c>
      <c r="S16">
        <f t="shared" ca="1" si="14"/>
        <v>154</v>
      </c>
      <c r="T16" s="2">
        <f t="shared" ca="1" si="18"/>
        <v>7432503.6877343087</v>
      </c>
      <c r="U16" s="17">
        <f t="shared" si="19"/>
        <v>2022</v>
      </c>
      <c r="V16" s="20" t="str">
        <f t="shared" si="15"/>
        <v>Jul-2022</v>
      </c>
    </row>
    <row r="17" spans="1:22" x14ac:dyDescent="0.3">
      <c r="A17" t="str">
        <f t="shared" si="16"/>
        <v>TX-00017</v>
      </c>
      <c r="B17" s="6">
        <v>44893</v>
      </c>
      <c r="C17" t="str">
        <f t="shared" ca="1" si="0"/>
        <v>Commercial</v>
      </c>
      <c r="D17" s="1" t="str">
        <f t="shared" ca="1" si="1"/>
        <v>Makati</v>
      </c>
      <c r="E17" s="1">
        <f t="shared" ca="1" si="2"/>
        <v>1</v>
      </c>
      <c r="F17" s="1">
        <f t="shared" ca="1" si="2"/>
        <v>2</v>
      </c>
      <c r="G17">
        <f t="shared" ca="1" si="3"/>
        <v>68</v>
      </c>
      <c r="H17">
        <f t="shared" ca="1" si="4"/>
        <v>200</v>
      </c>
      <c r="I17">
        <f t="shared" ca="1" si="5"/>
        <v>2017</v>
      </c>
      <c r="J17" s="2">
        <f t="shared" ca="1" si="6"/>
        <v>5694238</v>
      </c>
      <c r="K17" s="4">
        <f t="shared" ca="1" si="7"/>
        <v>4487501</v>
      </c>
      <c r="L17" t="str">
        <f t="shared" ca="1" si="8"/>
        <v>Mary Garcia</v>
      </c>
      <c r="M17" t="str">
        <f t="shared" ca="1" si="9"/>
        <v>Corporation</v>
      </c>
      <c r="N17" t="str">
        <f t="shared" ca="1" si="10"/>
        <v>Bank Loan</v>
      </c>
      <c r="O17" s="1">
        <f t="shared" ca="1" si="11"/>
        <v>172</v>
      </c>
      <c r="P17" s="2">
        <f t="shared" ca="1" si="12"/>
        <v>134625.03</v>
      </c>
      <c r="Q17" s="2">
        <f t="shared" ca="1" si="13"/>
        <v>-1206737</v>
      </c>
      <c r="R17" s="3">
        <f t="shared" ca="1" si="17"/>
        <v>22437.505000000001</v>
      </c>
      <c r="S17">
        <f t="shared" ca="1" si="14"/>
        <v>200</v>
      </c>
      <c r="T17" s="2">
        <f t="shared" ca="1" si="18"/>
        <v>5694238.2119224733</v>
      </c>
      <c r="U17" s="17">
        <f t="shared" si="19"/>
        <v>2022</v>
      </c>
      <c r="V17" s="20" t="str">
        <f t="shared" si="15"/>
        <v>Nov-2022</v>
      </c>
    </row>
    <row r="18" spans="1:22" x14ac:dyDescent="0.3">
      <c r="A18" t="str">
        <f t="shared" si="16"/>
        <v>TX-00018</v>
      </c>
      <c r="B18" s="6">
        <v>45540</v>
      </c>
      <c r="C18" t="str">
        <f t="shared" ca="1" si="0"/>
        <v>Commercial</v>
      </c>
      <c r="D18" s="1" t="str">
        <f t="shared" ca="1" si="1"/>
        <v>Bulacan</v>
      </c>
      <c r="E18" s="1">
        <f t="shared" ca="1" si="2"/>
        <v>3</v>
      </c>
      <c r="F18" s="1">
        <f t="shared" ca="1" si="2"/>
        <v>3</v>
      </c>
      <c r="G18">
        <f t="shared" ca="1" si="3"/>
        <v>69</v>
      </c>
      <c r="H18">
        <f t="shared" ca="1" si="4"/>
        <v>154</v>
      </c>
      <c r="I18">
        <f t="shared" ca="1" si="5"/>
        <v>2023</v>
      </c>
      <c r="J18" s="2">
        <f t="shared" ca="1" si="6"/>
        <v>11806944</v>
      </c>
      <c r="K18" s="4">
        <f t="shared" ca="1" si="7"/>
        <v>12935113</v>
      </c>
      <c r="L18" t="str">
        <f t="shared" ca="1" si="8"/>
        <v>Michael Santos</v>
      </c>
      <c r="M18" t="str">
        <f t="shared" ca="1" si="9"/>
        <v>Investor</v>
      </c>
      <c r="N18" t="str">
        <f t="shared" ca="1" si="10"/>
        <v>Pag-IBIG Loan</v>
      </c>
      <c r="O18" s="1">
        <f t="shared" ca="1" si="11"/>
        <v>362</v>
      </c>
      <c r="P18" s="2">
        <f t="shared" ca="1" si="12"/>
        <v>388053.39</v>
      </c>
      <c r="Q18" s="2">
        <f t="shared" ca="1" si="13"/>
        <v>1128169</v>
      </c>
      <c r="R18" s="3">
        <f t="shared" ca="1" si="17"/>
        <v>83994.240259740254</v>
      </c>
      <c r="S18">
        <f t="shared" ca="1" si="14"/>
        <v>154</v>
      </c>
      <c r="T18" s="2">
        <f t="shared" ca="1" si="18"/>
        <v>11806943.904448688</v>
      </c>
      <c r="U18" s="17">
        <f t="shared" si="19"/>
        <v>2024</v>
      </c>
      <c r="V18" s="20" t="str">
        <f t="shared" si="15"/>
        <v>Sep-2024</v>
      </c>
    </row>
    <row r="19" spans="1:22" x14ac:dyDescent="0.3">
      <c r="A19" t="str">
        <f t="shared" si="16"/>
        <v>TX-00019</v>
      </c>
      <c r="B19" s="6">
        <v>44767</v>
      </c>
      <c r="C19" t="str">
        <f t="shared" ca="1" si="0"/>
        <v>Commercial</v>
      </c>
      <c r="D19" s="1" t="str">
        <f t="shared" ca="1" si="1"/>
        <v>Bulacan</v>
      </c>
      <c r="E19" s="1">
        <f t="shared" ca="1" si="2"/>
        <v>1</v>
      </c>
      <c r="F19" s="1">
        <f t="shared" ca="1" si="2"/>
        <v>2</v>
      </c>
      <c r="G19">
        <f t="shared" ca="1" si="3"/>
        <v>133</v>
      </c>
      <c r="H19">
        <f t="shared" ca="1" si="4"/>
        <v>180</v>
      </c>
      <c r="I19">
        <f t="shared" ca="1" si="5"/>
        <v>2017</v>
      </c>
      <c r="J19" s="2">
        <f t="shared" ca="1" si="6"/>
        <v>11903963</v>
      </c>
      <c r="K19" s="4">
        <f t="shared" ca="1" si="7"/>
        <v>2030253</v>
      </c>
      <c r="L19" t="str">
        <f t="shared" ca="1" si="8"/>
        <v>Michael Santos</v>
      </c>
      <c r="M19" t="str">
        <f t="shared" ca="1" si="9"/>
        <v>Investor</v>
      </c>
      <c r="N19" t="str">
        <f t="shared" ca="1" si="10"/>
        <v>Cash</v>
      </c>
      <c r="O19" s="1">
        <f t="shared" ca="1" si="11"/>
        <v>137</v>
      </c>
      <c r="P19" s="2">
        <f t="shared" ca="1" si="12"/>
        <v>60907.59</v>
      </c>
      <c r="Q19" s="2">
        <f t="shared" ca="1" si="13"/>
        <v>-9873710</v>
      </c>
      <c r="R19" s="3">
        <f t="shared" ca="1" si="17"/>
        <v>11279.183333333332</v>
      </c>
      <c r="S19">
        <f t="shared" ca="1" si="14"/>
        <v>180</v>
      </c>
      <c r="T19" s="2">
        <f t="shared" ca="1" si="18"/>
        <v>11903963.829447303</v>
      </c>
      <c r="U19" s="17">
        <f t="shared" si="19"/>
        <v>2022</v>
      </c>
      <c r="V19" s="20" t="str">
        <f t="shared" si="15"/>
        <v>Jul-2022</v>
      </c>
    </row>
    <row r="20" spans="1:22" x14ac:dyDescent="0.3">
      <c r="A20" t="str">
        <f t="shared" si="16"/>
        <v>TX-00020</v>
      </c>
      <c r="B20" s="6">
        <v>44912</v>
      </c>
      <c r="C20" t="str">
        <f t="shared" ca="1" si="0"/>
        <v>Land</v>
      </c>
      <c r="D20" s="1" t="str">
        <f t="shared" ca="1" si="1"/>
        <v>Laguna</v>
      </c>
      <c r="E20" s="1">
        <f t="shared" ca="1" si="2"/>
        <v>2</v>
      </c>
      <c r="F20" s="1">
        <f t="shared" ca="1" si="2"/>
        <v>4</v>
      </c>
      <c r="G20">
        <f t="shared" ca="1" si="3"/>
        <v>40</v>
      </c>
      <c r="H20">
        <f t="shared" ca="1" si="4"/>
        <v>54</v>
      </c>
      <c r="I20">
        <f t="shared" ca="1" si="5"/>
        <v>2012</v>
      </c>
      <c r="J20" s="2">
        <f t="shared" ca="1" si="6"/>
        <v>4727535</v>
      </c>
      <c r="K20" s="4">
        <f t="shared" ca="1" si="7"/>
        <v>9701079</v>
      </c>
      <c r="L20" t="str">
        <f t="shared" ca="1" si="8"/>
        <v>Anna Mendoza</v>
      </c>
      <c r="M20" t="str">
        <f t="shared" ca="1" si="9"/>
        <v>Corporation</v>
      </c>
      <c r="N20" t="str">
        <f t="shared" ca="1" si="10"/>
        <v>Bank Loan</v>
      </c>
      <c r="O20" s="1">
        <f t="shared" ca="1" si="11"/>
        <v>117</v>
      </c>
      <c r="P20" s="2">
        <f t="shared" ca="1" si="12"/>
        <v>291032.37</v>
      </c>
      <c r="Q20" s="2">
        <f t="shared" ca="1" si="13"/>
        <v>4973544</v>
      </c>
      <c r="R20" s="3">
        <f t="shared" ca="1" si="17"/>
        <v>179649.61111111112</v>
      </c>
      <c r="S20">
        <f t="shared" ca="1" si="14"/>
        <v>54</v>
      </c>
      <c r="T20" s="2">
        <f t="shared" ca="1" si="18"/>
        <v>4727533.9479625216</v>
      </c>
      <c r="U20" s="17">
        <f t="shared" si="19"/>
        <v>2022</v>
      </c>
      <c r="V20" s="20" t="str">
        <f t="shared" si="15"/>
        <v>Dec-2022</v>
      </c>
    </row>
    <row r="21" spans="1:22" x14ac:dyDescent="0.3">
      <c r="A21" t="str">
        <f t="shared" si="16"/>
        <v>TX-00021</v>
      </c>
      <c r="B21" s="6">
        <v>43441</v>
      </c>
      <c r="C21" t="str">
        <f t="shared" ca="1" si="0"/>
        <v>Land</v>
      </c>
      <c r="D21" s="1" t="str">
        <f t="shared" ca="1" si="1"/>
        <v>Cavite</v>
      </c>
      <c r="E21" s="1">
        <f t="shared" ca="1" si="2"/>
        <v>3</v>
      </c>
      <c r="F21" s="1">
        <f t="shared" ca="1" si="2"/>
        <v>2</v>
      </c>
      <c r="G21">
        <f t="shared" ca="1" si="3"/>
        <v>196</v>
      </c>
      <c r="H21">
        <f t="shared" ca="1" si="4"/>
        <v>56</v>
      </c>
      <c r="I21">
        <f t="shared" ca="1" si="5"/>
        <v>2020</v>
      </c>
      <c r="J21" s="2">
        <f t="shared" ca="1" si="6"/>
        <v>4829702</v>
      </c>
      <c r="K21" s="4">
        <f t="shared" ca="1" si="7"/>
        <v>12731591</v>
      </c>
      <c r="L21" t="str">
        <f t="shared" ca="1" si="8"/>
        <v>Mark Reyes</v>
      </c>
      <c r="M21" t="str">
        <f t="shared" ca="1" si="9"/>
        <v>Corporation</v>
      </c>
      <c r="N21" t="str">
        <f t="shared" ca="1" si="10"/>
        <v>Cash</v>
      </c>
      <c r="O21" s="1">
        <f t="shared" ca="1" si="11"/>
        <v>192</v>
      </c>
      <c r="P21" s="2">
        <f t="shared" ca="1" si="12"/>
        <v>381947.73</v>
      </c>
      <c r="Q21" s="2">
        <f t="shared" ca="1" si="13"/>
        <v>7901889</v>
      </c>
      <c r="R21" s="3">
        <f t="shared" ca="1" si="17"/>
        <v>227349.83928571429</v>
      </c>
      <c r="S21">
        <f t="shared" ca="1" si="14"/>
        <v>56</v>
      </c>
      <c r="T21" s="2">
        <f t="shared" ca="1" si="18"/>
        <v>4829700.3638971932</v>
      </c>
      <c r="U21" s="17">
        <f t="shared" si="19"/>
        <v>2018</v>
      </c>
      <c r="V21" s="20" t="str">
        <f t="shared" si="15"/>
        <v>Dec-2018</v>
      </c>
    </row>
    <row r="22" spans="1:22" x14ac:dyDescent="0.3">
      <c r="A22" t="str">
        <f t="shared" si="16"/>
        <v>TX-00022</v>
      </c>
      <c r="B22" s="6">
        <v>45605</v>
      </c>
      <c r="C22" t="str">
        <f t="shared" ca="1" si="0"/>
        <v>Land</v>
      </c>
      <c r="D22" s="1" t="str">
        <f t="shared" ca="1" si="1"/>
        <v>Makati</v>
      </c>
      <c r="E22" s="1">
        <f t="shared" ref="E22:F41" ca="1" si="20">RANDBETWEEN(1,4)</f>
        <v>3</v>
      </c>
      <c r="F22" s="1">
        <f t="shared" ca="1" si="20"/>
        <v>1</v>
      </c>
      <c r="G22">
        <f t="shared" ca="1" si="3"/>
        <v>123</v>
      </c>
      <c r="H22">
        <f t="shared" ca="1" si="4"/>
        <v>139</v>
      </c>
      <c r="I22">
        <f t="shared" ca="1" si="5"/>
        <v>2022</v>
      </c>
      <c r="J22" s="2">
        <f t="shared" ca="1" si="6"/>
        <v>9364989</v>
      </c>
      <c r="K22" s="4">
        <f t="shared" ca="1" si="7"/>
        <v>7452079</v>
      </c>
      <c r="L22" t="str">
        <f t="shared" ca="1" si="8"/>
        <v>Joy Ramos</v>
      </c>
      <c r="M22" t="str">
        <f t="shared" ca="1" si="9"/>
        <v>Individual</v>
      </c>
      <c r="N22" t="str">
        <f t="shared" ca="1" si="10"/>
        <v>Bank Loan</v>
      </c>
      <c r="O22" s="1">
        <f t="shared" ca="1" si="11"/>
        <v>219</v>
      </c>
      <c r="P22" s="2">
        <f t="shared" ca="1" si="12"/>
        <v>223562.37</v>
      </c>
      <c r="Q22" s="2">
        <f t="shared" ca="1" si="13"/>
        <v>-1912910</v>
      </c>
      <c r="R22" s="3">
        <f t="shared" ca="1" si="17"/>
        <v>53612.079136690649</v>
      </c>
      <c r="S22">
        <f t="shared" ca="1" si="14"/>
        <v>139</v>
      </c>
      <c r="T22" s="2">
        <f t="shared" ca="1" si="18"/>
        <v>9364989.2042618524</v>
      </c>
      <c r="U22" s="17">
        <f t="shared" si="19"/>
        <v>2024</v>
      </c>
      <c r="V22" s="20" t="str">
        <f t="shared" si="15"/>
        <v>Nov-2024</v>
      </c>
    </row>
    <row r="23" spans="1:22" x14ac:dyDescent="0.3">
      <c r="A23" t="str">
        <f t="shared" si="16"/>
        <v>TX-00023</v>
      </c>
      <c r="B23" s="6">
        <v>43591</v>
      </c>
      <c r="C23" t="str">
        <f t="shared" ca="1" si="0"/>
        <v>House &amp; Lot</v>
      </c>
      <c r="D23" s="1" t="str">
        <f t="shared" ca="1" si="1"/>
        <v>Laguna</v>
      </c>
      <c r="E23" s="1">
        <f t="shared" ca="1" si="20"/>
        <v>2</v>
      </c>
      <c r="F23" s="1">
        <f t="shared" ca="1" si="20"/>
        <v>3</v>
      </c>
      <c r="G23">
        <f t="shared" ca="1" si="3"/>
        <v>190</v>
      </c>
      <c r="H23">
        <f t="shared" ca="1" si="4"/>
        <v>147</v>
      </c>
      <c r="I23">
        <f t="shared" ca="1" si="5"/>
        <v>2017</v>
      </c>
      <c r="J23" s="2">
        <f t="shared" ca="1" si="6"/>
        <v>11143668</v>
      </c>
      <c r="K23" s="4">
        <f t="shared" ca="1" si="7"/>
        <v>4299114</v>
      </c>
      <c r="L23" t="str">
        <f t="shared" ca="1" si="8"/>
        <v>Joy Ramos</v>
      </c>
      <c r="M23" t="str">
        <f t="shared" ca="1" si="9"/>
        <v>Individual</v>
      </c>
      <c r="N23" t="str">
        <f t="shared" ca="1" si="10"/>
        <v>Installment</v>
      </c>
      <c r="O23" s="1">
        <f t="shared" ca="1" si="11"/>
        <v>220</v>
      </c>
      <c r="P23" s="2">
        <f t="shared" ca="1" si="12"/>
        <v>128973.42</v>
      </c>
      <c r="Q23" s="2">
        <f t="shared" ca="1" si="13"/>
        <v>-6844554</v>
      </c>
      <c r="R23" s="3">
        <f t="shared" ca="1" si="17"/>
        <v>29245.673469387755</v>
      </c>
      <c r="S23">
        <f t="shared" ca="1" si="14"/>
        <v>147</v>
      </c>
      <c r="T23" s="2">
        <f t="shared" ca="1" si="18"/>
        <v>11143668.614210151</v>
      </c>
      <c r="U23" s="17">
        <f t="shared" si="19"/>
        <v>2019</v>
      </c>
      <c r="V23" s="20" t="str">
        <f t="shared" si="15"/>
        <v>May-2019</v>
      </c>
    </row>
    <row r="24" spans="1:22" x14ac:dyDescent="0.3">
      <c r="A24" t="str">
        <f t="shared" si="16"/>
        <v>TX-00024</v>
      </c>
      <c r="B24" s="6">
        <v>44495</v>
      </c>
      <c r="C24" t="str">
        <f t="shared" ca="1" si="0"/>
        <v>Condo</v>
      </c>
      <c r="D24" s="1" t="str">
        <f t="shared" ca="1" si="1"/>
        <v>Cavite</v>
      </c>
      <c r="E24" s="1">
        <f t="shared" ca="1" si="20"/>
        <v>4</v>
      </c>
      <c r="F24" s="1">
        <f t="shared" ca="1" si="20"/>
        <v>1</v>
      </c>
      <c r="G24">
        <f t="shared" ca="1" si="3"/>
        <v>126</v>
      </c>
      <c r="H24">
        <f t="shared" ca="1" si="4"/>
        <v>99</v>
      </c>
      <c r="I24">
        <f t="shared" ca="1" si="5"/>
        <v>2010</v>
      </c>
      <c r="J24" s="2">
        <f t="shared" ca="1" si="6"/>
        <v>5720245</v>
      </c>
      <c r="K24" s="4">
        <f t="shared" ca="1" si="7"/>
        <v>12261053</v>
      </c>
      <c r="L24" t="str">
        <f t="shared" ca="1" si="8"/>
        <v>John Dela Cruz</v>
      </c>
      <c r="M24" t="str">
        <f t="shared" ca="1" si="9"/>
        <v>OFW</v>
      </c>
      <c r="N24" t="str">
        <f t="shared" ca="1" si="10"/>
        <v>Pag-IBIG Loan</v>
      </c>
      <c r="O24" s="1">
        <f t="shared" ca="1" si="11"/>
        <v>258</v>
      </c>
      <c r="P24" s="2">
        <f t="shared" ca="1" si="12"/>
        <v>367831.58999999997</v>
      </c>
      <c r="Q24" s="2">
        <f t="shared" ca="1" si="13"/>
        <v>6540808</v>
      </c>
      <c r="R24" s="3">
        <f t="shared" ca="1" si="17"/>
        <v>97309.944444444438</v>
      </c>
      <c r="S24">
        <f t="shared" ca="1" si="14"/>
        <v>126</v>
      </c>
      <c r="T24" s="2">
        <f t="shared" ca="1" si="18"/>
        <v>5720243.8565510744</v>
      </c>
      <c r="U24" s="17">
        <f t="shared" si="19"/>
        <v>2021</v>
      </c>
      <c r="V24" s="20" t="str">
        <f t="shared" si="15"/>
        <v>Oct-2021</v>
      </c>
    </row>
    <row r="25" spans="1:22" x14ac:dyDescent="0.3">
      <c r="A25" t="str">
        <f t="shared" si="16"/>
        <v>TX-00025</v>
      </c>
      <c r="B25" s="6">
        <v>44794</v>
      </c>
      <c r="C25" t="str">
        <f t="shared" ca="1" si="0"/>
        <v>Condo</v>
      </c>
      <c r="D25" s="1" t="str">
        <f t="shared" ca="1" si="1"/>
        <v>Cavite</v>
      </c>
      <c r="E25" s="1">
        <f t="shared" ca="1" si="20"/>
        <v>1</v>
      </c>
      <c r="F25" s="1">
        <f t="shared" ca="1" si="20"/>
        <v>4</v>
      </c>
      <c r="G25">
        <f t="shared" ca="1" si="3"/>
        <v>103</v>
      </c>
      <c r="H25">
        <f t="shared" ca="1" si="4"/>
        <v>167</v>
      </c>
      <c r="I25">
        <f t="shared" ca="1" si="5"/>
        <v>2013</v>
      </c>
      <c r="J25" s="2">
        <f t="shared" ca="1" si="6"/>
        <v>8668304</v>
      </c>
      <c r="K25" s="4">
        <f t="shared" ca="1" si="7"/>
        <v>5346959</v>
      </c>
      <c r="L25" t="str">
        <f t="shared" ca="1" si="8"/>
        <v>Joy Ramos</v>
      </c>
      <c r="M25" t="str">
        <f t="shared" ca="1" si="9"/>
        <v>Investor</v>
      </c>
      <c r="N25" t="str">
        <f t="shared" ca="1" si="10"/>
        <v>Pag-IBIG Loan</v>
      </c>
      <c r="O25" s="1">
        <f t="shared" ca="1" si="11"/>
        <v>132</v>
      </c>
      <c r="P25" s="2">
        <f t="shared" ca="1" si="12"/>
        <v>160408.76999999999</v>
      </c>
      <c r="Q25" s="2">
        <f t="shared" ca="1" si="13"/>
        <v>-3321345</v>
      </c>
      <c r="R25" s="3">
        <f t="shared" ca="1" si="17"/>
        <v>51912.223300970873</v>
      </c>
      <c r="S25">
        <f t="shared" ca="1" si="14"/>
        <v>103</v>
      </c>
      <c r="T25" s="2">
        <f t="shared" ca="1" si="18"/>
        <v>8668304.3831597269</v>
      </c>
      <c r="U25" s="17">
        <f t="shared" si="19"/>
        <v>2022</v>
      </c>
      <c r="V25" s="20" t="str">
        <f t="shared" si="15"/>
        <v>Aug-2022</v>
      </c>
    </row>
    <row r="26" spans="1:22" x14ac:dyDescent="0.3">
      <c r="A26" t="str">
        <f t="shared" si="16"/>
        <v>TX-00026</v>
      </c>
      <c r="B26" s="6">
        <v>45609</v>
      </c>
      <c r="C26" t="str">
        <f t="shared" ca="1" si="0"/>
        <v>Condo</v>
      </c>
      <c r="D26" s="1" t="str">
        <f t="shared" ca="1" si="1"/>
        <v>Cavite</v>
      </c>
      <c r="E26" s="1">
        <f t="shared" ca="1" si="20"/>
        <v>1</v>
      </c>
      <c r="F26" s="1">
        <f t="shared" ca="1" si="20"/>
        <v>4</v>
      </c>
      <c r="G26">
        <f t="shared" ca="1" si="3"/>
        <v>56</v>
      </c>
      <c r="H26">
        <f t="shared" ca="1" si="4"/>
        <v>67</v>
      </c>
      <c r="I26">
        <f t="shared" ca="1" si="5"/>
        <v>2019</v>
      </c>
      <c r="J26" s="2">
        <f t="shared" ca="1" si="6"/>
        <v>5578996</v>
      </c>
      <c r="K26" s="4">
        <f t="shared" ca="1" si="7"/>
        <v>6972327</v>
      </c>
      <c r="L26" t="str">
        <f t="shared" ca="1" si="8"/>
        <v>Anna Mendoza</v>
      </c>
      <c r="M26" t="str">
        <f t="shared" ca="1" si="9"/>
        <v>Individual</v>
      </c>
      <c r="N26" t="str">
        <f t="shared" ca="1" si="10"/>
        <v>Installment</v>
      </c>
      <c r="O26" s="1">
        <f t="shared" ca="1" si="11"/>
        <v>229</v>
      </c>
      <c r="P26" s="2">
        <f t="shared" ca="1" si="12"/>
        <v>209169.81</v>
      </c>
      <c r="Q26" s="2">
        <f t="shared" ca="1" si="13"/>
        <v>1393331</v>
      </c>
      <c r="R26" s="3">
        <f t="shared" ca="1" si="17"/>
        <v>124505.83928571429</v>
      </c>
      <c r="S26">
        <f t="shared" ca="1" si="14"/>
        <v>56</v>
      </c>
      <c r="T26" s="2">
        <f t="shared" ca="1" si="18"/>
        <v>5578995.7502541672</v>
      </c>
      <c r="U26" s="17">
        <f t="shared" si="19"/>
        <v>2024</v>
      </c>
      <c r="V26" s="20" t="str">
        <f t="shared" si="15"/>
        <v>Nov-2024</v>
      </c>
    </row>
    <row r="27" spans="1:22" x14ac:dyDescent="0.3">
      <c r="A27" t="str">
        <f t="shared" si="16"/>
        <v>TX-00027</v>
      </c>
      <c r="B27" s="6">
        <v>43641</v>
      </c>
      <c r="C27" t="str">
        <f t="shared" ca="1" si="0"/>
        <v>Commercial</v>
      </c>
      <c r="D27" s="1" t="str">
        <f t="shared" ca="1" si="1"/>
        <v>Makati</v>
      </c>
      <c r="E27" s="1">
        <f t="shared" ca="1" si="20"/>
        <v>3</v>
      </c>
      <c r="F27" s="1">
        <f t="shared" ca="1" si="20"/>
        <v>3</v>
      </c>
      <c r="G27">
        <f t="shared" ca="1" si="3"/>
        <v>58</v>
      </c>
      <c r="H27">
        <f t="shared" ca="1" si="4"/>
        <v>112</v>
      </c>
      <c r="I27">
        <f t="shared" ca="1" si="5"/>
        <v>2014</v>
      </c>
      <c r="J27" s="2">
        <f t="shared" ca="1" si="6"/>
        <v>14059410</v>
      </c>
      <c r="K27" s="4">
        <f t="shared" ca="1" si="7"/>
        <v>6887265</v>
      </c>
      <c r="L27" t="str">
        <f t="shared" ca="1" si="8"/>
        <v>Joy Ramos</v>
      </c>
      <c r="M27" t="str">
        <f t="shared" ca="1" si="9"/>
        <v>Investor</v>
      </c>
      <c r="N27" t="str">
        <f t="shared" ca="1" si="10"/>
        <v>Pag-IBIG Loan</v>
      </c>
      <c r="O27" s="1">
        <f t="shared" ca="1" si="11"/>
        <v>246</v>
      </c>
      <c r="P27" s="2">
        <f t="shared" ca="1" si="12"/>
        <v>206617.94999999998</v>
      </c>
      <c r="Q27" s="2">
        <f t="shared" ca="1" si="13"/>
        <v>-7172145</v>
      </c>
      <c r="R27" s="3">
        <f t="shared" ca="1" si="17"/>
        <v>61493.4375</v>
      </c>
      <c r="S27">
        <f t="shared" ca="1" si="14"/>
        <v>112</v>
      </c>
      <c r="T27" s="2">
        <f t="shared" ca="1" si="18"/>
        <v>14059410.510131292</v>
      </c>
      <c r="U27" s="17">
        <f t="shared" si="19"/>
        <v>2019</v>
      </c>
      <c r="V27" s="20" t="str">
        <f t="shared" si="15"/>
        <v>Jun-2019</v>
      </c>
    </row>
    <row r="28" spans="1:22" x14ac:dyDescent="0.3">
      <c r="A28" t="str">
        <f t="shared" si="16"/>
        <v>TX-00028</v>
      </c>
      <c r="B28" s="6">
        <v>44909</v>
      </c>
      <c r="C28" t="str">
        <f t="shared" ca="1" si="0"/>
        <v>Commercial</v>
      </c>
      <c r="D28" s="1" t="str">
        <f t="shared" ca="1" si="1"/>
        <v>Cavite</v>
      </c>
      <c r="E28" s="1">
        <f t="shared" ca="1" si="20"/>
        <v>2</v>
      </c>
      <c r="F28" s="1">
        <f t="shared" ca="1" si="20"/>
        <v>3</v>
      </c>
      <c r="G28">
        <f t="shared" ca="1" si="3"/>
        <v>187</v>
      </c>
      <c r="H28">
        <f t="shared" ca="1" si="4"/>
        <v>232</v>
      </c>
      <c r="I28">
        <f t="shared" ca="1" si="5"/>
        <v>2011</v>
      </c>
      <c r="J28" s="2">
        <f t="shared" ca="1" si="6"/>
        <v>10760712</v>
      </c>
      <c r="K28" s="4">
        <f t="shared" ca="1" si="7"/>
        <v>9669088</v>
      </c>
      <c r="L28" t="str">
        <f t="shared" ca="1" si="8"/>
        <v>Michael Santos</v>
      </c>
      <c r="M28" t="str">
        <f t="shared" ca="1" si="9"/>
        <v>OFW</v>
      </c>
      <c r="N28" t="str">
        <f t="shared" ca="1" si="10"/>
        <v>Bank Loan</v>
      </c>
      <c r="O28" s="1">
        <f t="shared" ca="1" si="11"/>
        <v>154</v>
      </c>
      <c r="P28" s="2">
        <f t="shared" ca="1" si="12"/>
        <v>290072.64</v>
      </c>
      <c r="Q28" s="2">
        <f t="shared" ca="1" si="13"/>
        <v>-1091624</v>
      </c>
      <c r="R28" s="3">
        <f t="shared" ca="1" si="17"/>
        <v>41677.103448275862</v>
      </c>
      <c r="S28">
        <f t="shared" ca="1" si="14"/>
        <v>232</v>
      </c>
      <c r="T28" s="2">
        <f t="shared" ca="1" si="18"/>
        <v>10760712.101445332</v>
      </c>
      <c r="U28" s="17">
        <f t="shared" si="19"/>
        <v>2022</v>
      </c>
      <c r="V28" s="20" t="str">
        <f t="shared" si="15"/>
        <v>Dec-2022</v>
      </c>
    </row>
    <row r="29" spans="1:22" x14ac:dyDescent="0.3">
      <c r="A29" t="str">
        <f t="shared" si="16"/>
        <v>TX-00029</v>
      </c>
      <c r="B29" s="6">
        <v>46034</v>
      </c>
      <c r="C29" t="str">
        <f t="shared" ca="1" si="0"/>
        <v>Condo</v>
      </c>
      <c r="D29" s="1" t="str">
        <f t="shared" ca="1" si="1"/>
        <v>Bulacan</v>
      </c>
      <c r="E29" s="1">
        <f t="shared" ca="1" si="20"/>
        <v>2</v>
      </c>
      <c r="F29" s="1">
        <f t="shared" ca="1" si="20"/>
        <v>4</v>
      </c>
      <c r="G29">
        <f t="shared" ca="1" si="3"/>
        <v>112</v>
      </c>
      <c r="H29">
        <f t="shared" ca="1" si="4"/>
        <v>200</v>
      </c>
      <c r="I29">
        <f t="shared" ca="1" si="5"/>
        <v>2021</v>
      </c>
      <c r="J29" s="2">
        <f t="shared" ca="1" si="6"/>
        <v>11513143</v>
      </c>
      <c r="K29" s="4">
        <f t="shared" ca="1" si="7"/>
        <v>8177865</v>
      </c>
      <c r="L29" t="str">
        <f t="shared" ca="1" si="8"/>
        <v>John Dela Cruz</v>
      </c>
      <c r="M29" t="str">
        <f t="shared" ca="1" si="9"/>
        <v>OFW</v>
      </c>
      <c r="N29" t="str">
        <f t="shared" ca="1" si="10"/>
        <v>Pag-IBIG Loan</v>
      </c>
      <c r="O29" s="1">
        <f t="shared" ca="1" si="11"/>
        <v>311</v>
      </c>
      <c r="P29" s="2">
        <f t="shared" ca="1" si="12"/>
        <v>245335.94999999998</v>
      </c>
      <c r="Q29" s="2">
        <f t="shared" ca="1" si="13"/>
        <v>-3335278</v>
      </c>
      <c r="R29" s="3">
        <f t="shared" ca="1" si="17"/>
        <v>73016.65178571429</v>
      </c>
      <c r="S29">
        <f t="shared" ca="1" si="14"/>
        <v>112</v>
      </c>
      <c r="T29" s="2">
        <f t="shared" ca="1" si="18"/>
        <v>11513143.289693093</v>
      </c>
      <c r="U29" s="17">
        <f t="shared" si="19"/>
        <v>2026</v>
      </c>
      <c r="V29" s="20" t="str">
        <f t="shared" si="15"/>
        <v>Jan-2026</v>
      </c>
    </row>
    <row r="30" spans="1:22" x14ac:dyDescent="0.3">
      <c r="A30" t="str">
        <f t="shared" si="16"/>
        <v>TX-00030</v>
      </c>
      <c r="B30" s="6">
        <v>44617</v>
      </c>
      <c r="C30" t="str">
        <f t="shared" ca="1" si="0"/>
        <v>House &amp; Lot</v>
      </c>
      <c r="D30" s="1" t="str">
        <f t="shared" ca="1" si="1"/>
        <v>Bulacan</v>
      </c>
      <c r="E30" s="1">
        <f t="shared" ca="1" si="20"/>
        <v>1</v>
      </c>
      <c r="F30" s="1">
        <f t="shared" ca="1" si="20"/>
        <v>3</v>
      </c>
      <c r="G30">
        <f t="shared" ca="1" si="3"/>
        <v>101</v>
      </c>
      <c r="H30">
        <f t="shared" ca="1" si="4"/>
        <v>205</v>
      </c>
      <c r="I30">
        <f t="shared" ca="1" si="5"/>
        <v>2011</v>
      </c>
      <c r="J30" s="2">
        <f t="shared" ca="1" si="6"/>
        <v>11513321</v>
      </c>
      <c r="K30" s="4">
        <f t="shared" ca="1" si="7"/>
        <v>11065512</v>
      </c>
      <c r="L30" t="str">
        <f t="shared" ca="1" si="8"/>
        <v>Michelle Flores</v>
      </c>
      <c r="M30" t="str">
        <f t="shared" ca="1" si="9"/>
        <v>Corporation</v>
      </c>
      <c r="N30" t="str">
        <f t="shared" ca="1" si="10"/>
        <v>Installment</v>
      </c>
      <c r="O30" s="1">
        <f t="shared" ca="1" si="11"/>
        <v>255</v>
      </c>
      <c r="P30" s="2">
        <f t="shared" ca="1" si="12"/>
        <v>331965.36</v>
      </c>
      <c r="Q30" s="2">
        <f t="shared" ca="1" si="13"/>
        <v>-447809</v>
      </c>
      <c r="R30" s="3">
        <f t="shared" ca="1" si="17"/>
        <v>53978.107317073169</v>
      </c>
      <c r="S30">
        <f t="shared" ca="1" si="14"/>
        <v>205</v>
      </c>
      <c r="T30" s="2">
        <f t="shared" ca="1" si="18"/>
        <v>11513321.03889486</v>
      </c>
      <c r="U30" s="17">
        <f t="shared" si="19"/>
        <v>2022</v>
      </c>
      <c r="V30" s="20" t="str">
        <f t="shared" si="15"/>
        <v>Feb-2022</v>
      </c>
    </row>
    <row r="31" spans="1:22" x14ac:dyDescent="0.3">
      <c r="A31" t="str">
        <f t="shared" si="16"/>
        <v>TX-00031</v>
      </c>
      <c r="B31" s="6">
        <v>45964</v>
      </c>
      <c r="C31" t="str">
        <f t="shared" ca="1" si="0"/>
        <v>Commercial</v>
      </c>
      <c r="D31" s="1" t="str">
        <f t="shared" ca="1" si="1"/>
        <v>Laguna</v>
      </c>
      <c r="E31" s="1">
        <f t="shared" ca="1" si="20"/>
        <v>4</v>
      </c>
      <c r="F31" s="1">
        <f t="shared" ca="1" si="20"/>
        <v>2</v>
      </c>
      <c r="G31">
        <f t="shared" ca="1" si="3"/>
        <v>143</v>
      </c>
      <c r="H31">
        <f t="shared" ca="1" si="4"/>
        <v>75</v>
      </c>
      <c r="I31">
        <f t="shared" ca="1" si="5"/>
        <v>2021</v>
      </c>
      <c r="J31" s="2">
        <f t="shared" ca="1" si="6"/>
        <v>9872494</v>
      </c>
      <c r="K31" s="4">
        <f t="shared" ca="1" si="7"/>
        <v>4063964</v>
      </c>
      <c r="L31" t="str">
        <f t="shared" ca="1" si="8"/>
        <v>Daniel Cruz</v>
      </c>
      <c r="M31" t="str">
        <f t="shared" ca="1" si="9"/>
        <v>OFW</v>
      </c>
      <c r="N31" t="str">
        <f t="shared" ca="1" si="10"/>
        <v>Pag-IBIG Loan</v>
      </c>
      <c r="O31" s="1">
        <f t="shared" ca="1" si="11"/>
        <v>355</v>
      </c>
      <c r="P31" s="2">
        <f t="shared" ca="1" si="12"/>
        <v>121918.92</v>
      </c>
      <c r="Q31" s="2">
        <f t="shared" ca="1" si="13"/>
        <v>-5808530</v>
      </c>
      <c r="R31" s="3">
        <f t="shared" ca="1" si="17"/>
        <v>54186.186666666668</v>
      </c>
      <c r="S31">
        <f t="shared" ca="1" si="14"/>
        <v>75</v>
      </c>
      <c r="T31" s="2">
        <f t="shared" ca="1" si="18"/>
        <v>9872494.5883548781</v>
      </c>
      <c r="U31" s="17">
        <f t="shared" si="19"/>
        <v>2025</v>
      </c>
      <c r="V31" s="20" t="str">
        <f t="shared" si="15"/>
        <v>Nov-2025</v>
      </c>
    </row>
    <row r="32" spans="1:22" x14ac:dyDescent="0.3">
      <c r="A32" t="str">
        <f t="shared" si="16"/>
        <v>TX-00032</v>
      </c>
      <c r="B32" s="6">
        <v>43971</v>
      </c>
      <c r="C32" t="str">
        <f t="shared" ca="1" si="0"/>
        <v>Condo</v>
      </c>
      <c r="D32" s="1" t="str">
        <f t="shared" ca="1" si="1"/>
        <v>Laguna</v>
      </c>
      <c r="E32" s="1">
        <f t="shared" ca="1" si="20"/>
        <v>3</v>
      </c>
      <c r="F32" s="1">
        <f t="shared" ca="1" si="20"/>
        <v>4</v>
      </c>
      <c r="G32">
        <f t="shared" ca="1" si="3"/>
        <v>199</v>
      </c>
      <c r="H32">
        <f t="shared" ca="1" si="4"/>
        <v>193</v>
      </c>
      <c r="I32">
        <f t="shared" ca="1" si="5"/>
        <v>2017</v>
      </c>
      <c r="J32" s="2">
        <f t="shared" ca="1" si="6"/>
        <v>3345258</v>
      </c>
      <c r="K32" s="4">
        <f t="shared" ca="1" si="7"/>
        <v>10945121</v>
      </c>
      <c r="L32" t="str">
        <f t="shared" ca="1" si="8"/>
        <v>John Dela Cruz</v>
      </c>
      <c r="M32" t="str">
        <f t="shared" ca="1" si="9"/>
        <v>Corporation</v>
      </c>
      <c r="N32" t="str">
        <f t="shared" ca="1" si="10"/>
        <v>Installment</v>
      </c>
      <c r="O32" s="1">
        <f t="shared" ca="1" si="11"/>
        <v>254</v>
      </c>
      <c r="P32" s="2">
        <f t="shared" ca="1" si="12"/>
        <v>328353.63</v>
      </c>
      <c r="Q32" s="2">
        <f t="shared" ca="1" si="13"/>
        <v>7599863</v>
      </c>
      <c r="R32" s="3">
        <f t="shared" ca="1" si="17"/>
        <v>55000.608040201005</v>
      </c>
      <c r="S32">
        <f t="shared" ca="1" si="14"/>
        <v>199</v>
      </c>
      <c r="T32" s="2">
        <f t="shared" ca="1" si="18"/>
        <v>3345255.7281683506</v>
      </c>
      <c r="U32" s="17">
        <f t="shared" si="19"/>
        <v>2020</v>
      </c>
      <c r="V32" s="20" t="str">
        <f t="shared" si="15"/>
        <v>May-2020</v>
      </c>
    </row>
    <row r="33" spans="1:22" x14ac:dyDescent="0.3">
      <c r="A33" t="str">
        <f t="shared" si="16"/>
        <v>TX-00033</v>
      </c>
      <c r="B33" s="6">
        <v>43525</v>
      </c>
      <c r="C33" t="str">
        <f t="shared" ca="1" si="0"/>
        <v>House &amp; Lot</v>
      </c>
      <c r="D33" s="1" t="str">
        <f t="shared" ca="1" si="1"/>
        <v>Bulacan</v>
      </c>
      <c r="E33" s="1">
        <f t="shared" ca="1" si="20"/>
        <v>1</v>
      </c>
      <c r="F33" s="1">
        <f t="shared" ca="1" si="20"/>
        <v>2</v>
      </c>
      <c r="G33">
        <f t="shared" ca="1" si="3"/>
        <v>55</v>
      </c>
      <c r="H33">
        <f t="shared" ca="1" si="4"/>
        <v>51</v>
      </c>
      <c r="I33">
        <f t="shared" ca="1" si="5"/>
        <v>2012</v>
      </c>
      <c r="J33" s="2">
        <f t="shared" ca="1" si="6"/>
        <v>2514794</v>
      </c>
      <c r="K33" s="4">
        <f t="shared" ca="1" si="7"/>
        <v>5504665</v>
      </c>
      <c r="L33" t="str">
        <f t="shared" ca="1" si="8"/>
        <v>John Dela Cruz</v>
      </c>
      <c r="M33" t="str">
        <f t="shared" ca="1" si="9"/>
        <v>Corporation</v>
      </c>
      <c r="N33" t="str">
        <f t="shared" ca="1" si="10"/>
        <v>Bank Loan</v>
      </c>
      <c r="O33" s="1">
        <f t="shared" ca="1" si="11"/>
        <v>182</v>
      </c>
      <c r="P33" s="2">
        <f t="shared" ca="1" si="12"/>
        <v>165139.94999999998</v>
      </c>
      <c r="Q33" s="2">
        <f t="shared" ca="1" si="13"/>
        <v>2989871</v>
      </c>
      <c r="R33" s="3">
        <f t="shared" ca="1" si="17"/>
        <v>107934.60784313726</v>
      </c>
      <c r="S33">
        <f t="shared" ca="1" si="14"/>
        <v>51</v>
      </c>
      <c r="T33" s="2">
        <f t="shared" ca="1" si="18"/>
        <v>2514792.811087111</v>
      </c>
      <c r="U33" s="17">
        <f t="shared" si="19"/>
        <v>2019</v>
      </c>
      <c r="V33" s="20" t="str">
        <f t="shared" si="15"/>
        <v>Mar-2019</v>
      </c>
    </row>
    <row r="34" spans="1:22" x14ac:dyDescent="0.3">
      <c r="A34" t="str">
        <f t="shared" si="16"/>
        <v>TX-00034</v>
      </c>
      <c r="B34" s="6">
        <v>44286</v>
      </c>
      <c r="C34" t="str">
        <f t="shared" ca="1" si="0"/>
        <v>Land</v>
      </c>
      <c r="D34" s="1" t="str">
        <f t="shared" ca="1" si="1"/>
        <v>Bulacan</v>
      </c>
      <c r="E34" s="1">
        <f t="shared" ca="1" si="20"/>
        <v>3</v>
      </c>
      <c r="F34" s="1">
        <f t="shared" ca="1" si="20"/>
        <v>4</v>
      </c>
      <c r="G34">
        <f t="shared" ca="1" si="3"/>
        <v>138</v>
      </c>
      <c r="H34">
        <f t="shared" ca="1" si="4"/>
        <v>74</v>
      </c>
      <c r="I34">
        <f t="shared" ca="1" si="5"/>
        <v>2011</v>
      </c>
      <c r="J34" s="2">
        <f t="shared" ca="1" si="6"/>
        <v>12327379</v>
      </c>
      <c r="K34" s="4">
        <f t="shared" ca="1" si="7"/>
        <v>7296822</v>
      </c>
      <c r="L34" t="str">
        <f t="shared" ca="1" si="8"/>
        <v>Daniel Cruz</v>
      </c>
      <c r="M34" t="str">
        <f t="shared" ca="1" si="9"/>
        <v>Corporation</v>
      </c>
      <c r="N34" t="str">
        <f t="shared" ca="1" si="10"/>
        <v>Cash</v>
      </c>
      <c r="O34" s="1">
        <f t="shared" ca="1" si="11"/>
        <v>251</v>
      </c>
      <c r="P34" s="2">
        <f t="shared" ca="1" si="12"/>
        <v>218904.66</v>
      </c>
      <c r="Q34" s="2">
        <f t="shared" ca="1" si="13"/>
        <v>-5030557</v>
      </c>
      <c r="R34" s="3">
        <f t="shared" ca="1" si="17"/>
        <v>98605.702702702707</v>
      </c>
      <c r="S34">
        <f t="shared" ca="1" si="14"/>
        <v>74</v>
      </c>
      <c r="T34" s="2">
        <f t="shared" ca="1" si="18"/>
        <v>12327379.408080015</v>
      </c>
      <c r="U34" s="17">
        <f t="shared" si="19"/>
        <v>2021</v>
      </c>
      <c r="V34" s="20" t="str">
        <f t="shared" si="15"/>
        <v>Mar-2021</v>
      </c>
    </row>
    <row r="35" spans="1:22" x14ac:dyDescent="0.3">
      <c r="A35" t="str">
        <f t="shared" si="16"/>
        <v>TX-00035</v>
      </c>
      <c r="B35" s="6">
        <v>45695</v>
      </c>
      <c r="C35" t="str">
        <f t="shared" ca="1" si="0"/>
        <v>Commercial</v>
      </c>
      <c r="D35" s="1" t="str">
        <f t="shared" ca="1" si="1"/>
        <v>Cavite</v>
      </c>
      <c r="E35" s="1">
        <f t="shared" ca="1" si="20"/>
        <v>1</v>
      </c>
      <c r="F35" s="1">
        <f t="shared" ca="1" si="20"/>
        <v>2</v>
      </c>
      <c r="G35">
        <f t="shared" ca="1" si="3"/>
        <v>106</v>
      </c>
      <c r="H35">
        <f t="shared" ca="1" si="4"/>
        <v>114</v>
      </c>
      <c r="I35">
        <f t="shared" ca="1" si="5"/>
        <v>2019</v>
      </c>
      <c r="J35" s="2">
        <f t="shared" ca="1" si="6"/>
        <v>9883198</v>
      </c>
      <c r="K35" s="4">
        <f t="shared" ca="1" si="7"/>
        <v>8766658</v>
      </c>
      <c r="L35" t="str">
        <f t="shared" ca="1" si="8"/>
        <v>Michelle Flores</v>
      </c>
      <c r="M35" t="str">
        <f t="shared" ca="1" si="9"/>
        <v>Individual</v>
      </c>
      <c r="N35" t="str">
        <f t="shared" ca="1" si="10"/>
        <v>Installment</v>
      </c>
      <c r="O35" s="1">
        <f t="shared" ca="1" si="11"/>
        <v>147</v>
      </c>
      <c r="P35" s="2">
        <f t="shared" ca="1" si="12"/>
        <v>262999.74</v>
      </c>
      <c r="Q35" s="2">
        <f t="shared" ca="1" si="13"/>
        <v>-1116540</v>
      </c>
      <c r="R35" s="3">
        <f t="shared" ca="1" si="17"/>
        <v>76900.508771929832</v>
      </c>
      <c r="S35">
        <f t="shared" ca="1" si="14"/>
        <v>114</v>
      </c>
      <c r="T35" s="2">
        <f t="shared" ca="1" si="18"/>
        <v>9883198.1129735541</v>
      </c>
      <c r="U35" s="17">
        <f t="shared" si="19"/>
        <v>2025</v>
      </c>
      <c r="V35" s="20" t="str">
        <f t="shared" si="15"/>
        <v>Feb-2025</v>
      </c>
    </row>
    <row r="36" spans="1:22" x14ac:dyDescent="0.3">
      <c r="A36" t="str">
        <f t="shared" si="16"/>
        <v>TX-00036</v>
      </c>
      <c r="B36" s="6">
        <v>44382</v>
      </c>
      <c r="C36" t="str">
        <f t="shared" ca="1" si="0"/>
        <v>Land</v>
      </c>
      <c r="D36" s="1" t="str">
        <f t="shared" ca="1" si="1"/>
        <v>Laguna</v>
      </c>
      <c r="E36" s="1">
        <f t="shared" ca="1" si="20"/>
        <v>1</v>
      </c>
      <c r="F36" s="1">
        <f t="shared" ca="1" si="20"/>
        <v>3</v>
      </c>
      <c r="G36">
        <f t="shared" ca="1" si="3"/>
        <v>58</v>
      </c>
      <c r="H36">
        <f t="shared" ca="1" si="4"/>
        <v>163</v>
      </c>
      <c r="I36">
        <f t="shared" ca="1" si="5"/>
        <v>2011</v>
      </c>
      <c r="J36" s="2">
        <f t="shared" ca="1" si="6"/>
        <v>13037646</v>
      </c>
      <c r="K36" s="4">
        <f t="shared" ca="1" si="7"/>
        <v>3981951</v>
      </c>
      <c r="L36" t="str">
        <f t="shared" ca="1" si="8"/>
        <v>Joy Ramos</v>
      </c>
      <c r="M36" t="str">
        <f t="shared" ca="1" si="9"/>
        <v>Investor</v>
      </c>
      <c r="N36" t="str">
        <f t="shared" ca="1" si="10"/>
        <v>Installment</v>
      </c>
      <c r="O36" s="1">
        <f t="shared" ca="1" si="11"/>
        <v>384</v>
      </c>
      <c r="P36" s="2">
        <f t="shared" ca="1" si="12"/>
        <v>119458.53</v>
      </c>
      <c r="Q36" s="2">
        <f t="shared" ca="1" si="13"/>
        <v>-9055695</v>
      </c>
      <c r="R36" s="3">
        <f t="shared" ca="1" si="17"/>
        <v>24429.147239263802</v>
      </c>
      <c r="S36">
        <f t="shared" ca="1" si="14"/>
        <v>163</v>
      </c>
      <c r="T36" s="2">
        <f t="shared" ca="1" si="18"/>
        <v>13037646.694580525</v>
      </c>
      <c r="U36" s="17">
        <f t="shared" si="19"/>
        <v>2021</v>
      </c>
      <c r="V36" s="20" t="str">
        <f t="shared" si="15"/>
        <v>Jul-2021</v>
      </c>
    </row>
    <row r="37" spans="1:22" x14ac:dyDescent="0.3">
      <c r="A37" t="str">
        <f t="shared" si="16"/>
        <v>TX-00037</v>
      </c>
      <c r="B37" s="6">
        <v>43245</v>
      </c>
      <c r="C37" t="str">
        <f t="shared" ca="1" si="0"/>
        <v>Commercial</v>
      </c>
      <c r="D37" s="1" t="str">
        <f t="shared" ca="1" si="1"/>
        <v>Laguna</v>
      </c>
      <c r="E37" s="1">
        <f t="shared" ca="1" si="20"/>
        <v>4</v>
      </c>
      <c r="F37" s="1">
        <f t="shared" ca="1" si="20"/>
        <v>4</v>
      </c>
      <c r="G37">
        <f t="shared" ca="1" si="3"/>
        <v>186</v>
      </c>
      <c r="H37">
        <f t="shared" ca="1" si="4"/>
        <v>79</v>
      </c>
      <c r="I37">
        <f t="shared" ca="1" si="5"/>
        <v>2015</v>
      </c>
      <c r="J37" s="2">
        <f t="shared" ca="1" si="6"/>
        <v>4149718</v>
      </c>
      <c r="K37" s="4">
        <f t="shared" ca="1" si="7"/>
        <v>7220854</v>
      </c>
      <c r="L37" t="str">
        <f t="shared" ca="1" si="8"/>
        <v>Anna Mendoza</v>
      </c>
      <c r="M37" t="str">
        <f t="shared" ca="1" si="9"/>
        <v>Investor</v>
      </c>
      <c r="N37" t="str">
        <f t="shared" ca="1" si="10"/>
        <v>Pag-IBIG Loan</v>
      </c>
      <c r="O37" s="1">
        <f t="shared" ca="1" si="11"/>
        <v>201</v>
      </c>
      <c r="P37" s="2">
        <f t="shared" ca="1" si="12"/>
        <v>216625.62</v>
      </c>
      <c r="Q37" s="2">
        <f t="shared" ca="1" si="13"/>
        <v>3071136</v>
      </c>
      <c r="R37" s="3">
        <f t="shared" ca="1" si="17"/>
        <v>91403.215189873416</v>
      </c>
      <c r="S37">
        <f t="shared" ca="1" si="14"/>
        <v>79</v>
      </c>
      <c r="T37" s="2">
        <f t="shared" ca="1" si="18"/>
        <v>4149717.2599169388</v>
      </c>
      <c r="U37" s="17">
        <f t="shared" si="19"/>
        <v>2018</v>
      </c>
      <c r="V37" s="20" t="str">
        <f t="shared" si="15"/>
        <v>May-2018</v>
      </c>
    </row>
    <row r="38" spans="1:22" x14ac:dyDescent="0.3">
      <c r="A38" t="str">
        <f t="shared" si="16"/>
        <v>TX-00038</v>
      </c>
      <c r="B38" s="6">
        <v>45570</v>
      </c>
      <c r="C38" t="str">
        <f t="shared" ca="1" si="0"/>
        <v>Commercial</v>
      </c>
      <c r="D38" s="1" t="str">
        <f t="shared" ca="1" si="1"/>
        <v>Bulacan</v>
      </c>
      <c r="E38" s="1">
        <f t="shared" ca="1" si="20"/>
        <v>3</v>
      </c>
      <c r="F38" s="1">
        <f t="shared" ca="1" si="20"/>
        <v>2</v>
      </c>
      <c r="G38">
        <f t="shared" ca="1" si="3"/>
        <v>77</v>
      </c>
      <c r="H38">
        <f t="shared" ca="1" si="4"/>
        <v>237</v>
      </c>
      <c r="I38">
        <f t="shared" ca="1" si="5"/>
        <v>2021</v>
      </c>
      <c r="J38" s="2">
        <f t="shared" ca="1" si="6"/>
        <v>7372360</v>
      </c>
      <c r="K38" s="4">
        <f t="shared" ca="1" si="7"/>
        <v>10708903</v>
      </c>
      <c r="L38" t="str">
        <f t="shared" ca="1" si="8"/>
        <v>Rachel Villanueva</v>
      </c>
      <c r="M38" t="str">
        <f t="shared" ca="1" si="9"/>
        <v>Corporation</v>
      </c>
      <c r="N38" t="str">
        <f t="shared" ca="1" si="10"/>
        <v>Bank Loan</v>
      </c>
      <c r="O38" s="1">
        <f t="shared" ca="1" si="11"/>
        <v>197</v>
      </c>
      <c r="P38" s="2">
        <f t="shared" ca="1" si="12"/>
        <v>321267.08999999997</v>
      </c>
      <c r="Q38" s="2">
        <f t="shared" ca="1" si="13"/>
        <v>3336543</v>
      </c>
      <c r="R38" s="3">
        <f t="shared" ca="1" si="17"/>
        <v>45185.244725738397</v>
      </c>
      <c r="S38">
        <f t="shared" ca="1" si="14"/>
        <v>237</v>
      </c>
      <c r="T38" s="2">
        <f t="shared" ca="1" si="18"/>
        <v>7372359.5474253837</v>
      </c>
      <c r="U38" s="17">
        <f t="shared" si="19"/>
        <v>2024</v>
      </c>
      <c r="V38" s="20" t="str">
        <f t="shared" si="15"/>
        <v>Oct-2024</v>
      </c>
    </row>
    <row r="39" spans="1:22" x14ac:dyDescent="0.3">
      <c r="A39" t="str">
        <f t="shared" si="16"/>
        <v>TX-00039</v>
      </c>
      <c r="B39" s="6">
        <v>44644</v>
      </c>
      <c r="C39" t="str">
        <f t="shared" ca="1" si="0"/>
        <v>Land</v>
      </c>
      <c r="D39" s="1" t="str">
        <f t="shared" ca="1" si="1"/>
        <v>Laguna</v>
      </c>
      <c r="E39" s="1">
        <f t="shared" ca="1" si="20"/>
        <v>4</v>
      </c>
      <c r="F39" s="1">
        <f t="shared" ca="1" si="20"/>
        <v>3</v>
      </c>
      <c r="G39">
        <f t="shared" ca="1" si="3"/>
        <v>105</v>
      </c>
      <c r="H39">
        <f t="shared" ca="1" si="4"/>
        <v>75</v>
      </c>
      <c r="I39">
        <f t="shared" ca="1" si="5"/>
        <v>2020</v>
      </c>
      <c r="J39" s="2">
        <f t="shared" ca="1" si="6"/>
        <v>3059188</v>
      </c>
      <c r="K39" s="4">
        <f t="shared" ca="1" si="7"/>
        <v>1990629</v>
      </c>
      <c r="L39" t="str">
        <f t="shared" ca="1" si="8"/>
        <v>Michael Santos</v>
      </c>
      <c r="M39" t="str">
        <f t="shared" ca="1" si="9"/>
        <v>OFW</v>
      </c>
      <c r="N39" t="str">
        <f t="shared" ca="1" si="10"/>
        <v>Installment</v>
      </c>
      <c r="O39" s="1">
        <f t="shared" ca="1" si="11"/>
        <v>105</v>
      </c>
      <c r="P39" s="2">
        <f t="shared" ca="1" si="12"/>
        <v>59718.869999999995</v>
      </c>
      <c r="Q39" s="2">
        <f t="shared" ca="1" si="13"/>
        <v>-1068559</v>
      </c>
      <c r="R39" s="3">
        <f t="shared" ca="1" si="17"/>
        <v>26541.72</v>
      </c>
      <c r="S39">
        <f t="shared" ca="1" si="14"/>
        <v>75</v>
      </c>
      <c r="T39" s="2">
        <f t="shared" ca="1" si="18"/>
        <v>3059188.3492949763</v>
      </c>
      <c r="U39" s="17">
        <f t="shared" si="19"/>
        <v>2022</v>
      </c>
      <c r="V39" s="20" t="str">
        <f t="shared" si="15"/>
        <v>Mar-2022</v>
      </c>
    </row>
    <row r="40" spans="1:22" x14ac:dyDescent="0.3">
      <c r="A40" t="str">
        <f t="shared" si="16"/>
        <v>TX-00040</v>
      </c>
      <c r="B40" s="6">
        <v>43137</v>
      </c>
      <c r="C40" t="str">
        <f t="shared" ca="1" si="0"/>
        <v>House &amp; Lot</v>
      </c>
      <c r="D40" s="1" t="str">
        <f t="shared" ca="1" si="1"/>
        <v>Makati</v>
      </c>
      <c r="E40" s="1">
        <f t="shared" ca="1" si="20"/>
        <v>4</v>
      </c>
      <c r="F40" s="1">
        <f t="shared" ca="1" si="20"/>
        <v>2</v>
      </c>
      <c r="G40">
        <f t="shared" ca="1" si="3"/>
        <v>199</v>
      </c>
      <c r="H40">
        <f t="shared" ca="1" si="4"/>
        <v>203</v>
      </c>
      <c r="I40">
        <f t="shared" ca="1" si="5"/>
        <v>2011</v>
      </c>
      <c r="J40" s="2">
        <f t="shared" ca="1" si="6"/>
        <v>12982630</v>
      </c>
      <c r="K40" s="4">
        <f t="shared" ca="1" si="7"/>
        <v>1613031</v>
      </c>
      <c r="L40" t="str">
        <f t="shared" ca="1" si="8"/>
        <v>Mary Garcia</v>
      </c>
      <c r="M40" t="str">
        <f t="shared" ca="1" si="9"/>
        <v>Individual</v>
      </c>
      <c r="N40" t="str">
        <f t="shared" ca="1" si="10"/>
        <v>Cash</v>
      </c>
      <c r="O40" s="1">
        <f t="shared" ca="1" si="11"/>
        <v>342</v>
      </c>
      <c r="P40" s="2">
        <f t="shared" ca="1" si="12"/>
        <v>48390.93</v>
      </c>
      <c r="Q40" s="2">
        <f t="shared" ca="1" si="13"/>
        <v>-11369599</v>
      </c>
      <c r="R40" s="3">
        <f t="shared" ca="1" si="17"/>
        <v>7945.9655172413795</v>
      </c>
      <c r="S40">
        <f t="shared" ca="1" si="14"/>
        <v>203</v>
      </c>
      <c r="T40" s="2">
        <f t="shared" ca="1" si="18"/>
        <v>12982630.875754682</v>
      </c>
      <c r="U40" s="17">
        <f t="shared" si="19"/>
        <v>2018</v>
      </c>
      <c r="V40" s="20" t="str">
        <f t="shared" si="15"/>
        <v>Feb-2018</v>
      </c>
    </row>
    <row r="41" spans="1:22" x14ac:dyDescent="0.3">
      <c r="A41" t="str">
        <f t="shared" si="16"/>
        <v>TX-00041</v>
      </c>
      <c r="B41" s="6">
        <v>44171</v>
      </c>
      <c r="C41" t="str">
        <f t="shared" ca="1" si="0"/>
        <v>House &amp; Lot</v>
      </c>
      <c r="D41" s="1" t="str">
        <f t="shared" ca="1" si="1"/>
        <v>Cavite</v>
      </c>
      <c r="E41" s="1">
        <f t="shared" ca="1" si="20"/>
        <v>3</v>
      </c>
      <c r="F41" s="1">
        <f t="shared" ca="1" si="20"/>
        <v>4</v>
      </c>
      <c r="G41">
        <f t="shared" ca="1" si="3"/>
        <v>155</v>
      </c>
      <c r="H41">
        <f t="shared" ca="1" si="4"/>
        <v>149</v>
      </c>
      <c r="I41">
        <f t="shared" ca="1" si="5"/>
        <v>2022</v>
      </c>
      <c r="J41" s="2">
        <f t="shared" ca="1" si="6"/>
        <v>7855328</v>
      </c>
      <c r="K41" s="4">
        <f t="shared" ca="1" si="7"/>
        <v>10275653</v>
      </c>
      <c r="L41" t="str">
        <f t="shared" ca="1" si="8"/>
        <v>Joy Ramos</v>
      </c>
      <c r="M41" t="str">
        <f t="shared" ca="1" si="9"/>
        <v>Individual</v>
      </c>
      <c r="N41" t="str">
        <f t="shared" ca="1" si="10"/>
        <v>Pag-IBIG Loan</v>
      </c>
      <c r="O41" s="1">
        <f t="shared" ca="1" si="11"/>
        <v>354</v>
      </c>
      <c r="P41" s="2">
        <f t="shared" ca="1" si="12"/>
        <v>308269.58999999997</v>
      </c>
      <c r="Q41" s="2">
        <f t="shared" ca="1" si="13"/>
        <v>2420325</v>
      </c>
      <c r="R41" s="3">
        <f t="shared" ca="1" si="17"/>
        <v>68964.114093959724</v>
      </c>
      <c r="S41">
        <f t="shared" ca="1" si="14"/>
        <v>149</v>
      </c>
      <c r="T41" s="2">
        <f t="shared" ca="1" si="18"/>
        <v>7855327.6918874681</v>
      </c>
      <c r="U41" s="17">
        <f t="shared" si="19"/>
        <v>2020</v>
      </c>
      <c r="V41" s="20" t="str">
        <f t="shared" si="15"/>
        <v>Dec-2020</v>
      </c>
    </row>
    <row r="42" spans="1:22" x14ac:dyDescent="0.3">
      <c r="A42" t="str">
        <f t="shared" si="16"/>
        <v>TX-00042</v>
      </c>
      <c r="B42" s="6">
        <v>45323</v>
      </c>
      <c r="C42" t="str">
        <f t="shared" ca="1" si="0"/>
        <v>Condo</v>
      </c>
      <c r="D42" s="1" t="str">
        <f t="shared" ca="1" si="1"/>
        <v>Cavite</v>
      </c>
      <c r="E42" s="1">
        <f t="shared" ref="E42:F61" ca="1" si="21">RANDBETWEEN(1,4)</f>
        <v>3</v>
      </c>
      <c r="F42" s="1">
        <f t="shared" ca="1" si="21"/>
        <v>3</v>
      </c>
      <c r="G42">
        <f t="shared" ca="1" si="3"/>
        <v>135</v>
      </c>
      <c r="H42">
        <f t="shared" ca="1" si="4"/>
        <v>244</v>
      </c>
      <c r="I42">
        <f t="shared" ca="1" si="5"/>
        <v>2023</v>
      </c>
      <c r="J42" s="2">
        <f t="shared" ca="1" si="6"/>
        <v>9701878</v>
      </c>
      <c r="K42" s="4">
        <f t="shared" ca="1" si="7"/>
        <v>3988444</v>
      </c>
      <c r="L42" t="str">
        <f t="shared" ca="1" si="8"/>
        <v>Daniel Cruz</v>
      </c>
      <c r="M42" t="str">
        <f t="shared" ca="1" si="9"/>
        <v>OFW</v>
      </c>
      <c r="N42" t="str">
        <f t="shared" ca="1" si="10"/>
        <v>Cash</v>
      </c>
      <c r="O42" s="1">
        <f t="shared" ca="1" si="11"/>
        <v>394</v>
      </c>
      <c r="P42" s="2">
        <f t="shared" ca="1" si="12"/>
        <v>119653.31999999999</v>
      </c>
      <c r="Q42" s="2">
        <f t="shared" ca="1" si="13"/>
        <v>-5713434</v>
      </c>
      <c r="R42" s="3">
        <f t="shared" ca="1" si="17"/>
        <v>29544.029629629629</v>
      </c>
      <c r="S42">
        <f t="shared" ca="1" si="14"/>
        <v>135</v>
      </c>
      <c r="T42" s="2">
        <f t="shared" ca="1" si="18"/>
        <v>9701878.5888997987</v>
      </c>
      <c r="U42" s="17">
        <f t="shared" si="19"/>
        <v>2024</v>
      </c>
      <c r="V42" s="20" t="str">
        <f t="shared" si="15"/>
        <v>Feb-2024</v>
      </c>
    </row>
    <row r="43" spans="1:22" x14ac:dyDescent="0.3">
      <c r="A43" t="str">
        <f t="shared" si="16"/>
        <v>TX-00043</v>
      </c>
      <c r="B43" s="6">
        <v>45287</v>
      </c>
      <c r="C43" t="str">
        <f t="shared" ca="1" si="0"/>
        <v>Commercial</v>
      </c>
      <c r="D43" s="1" t="str">
        <f t="shared" ca="1" si="1"/>
        <v>Bulacan</v>
      </c>
      <c r="E43" s="1">
        <f t="shared" ca="1" si="21"/>
        <v>3</v>
      </c>
      <c r="F43" s="1">
        <f t="shared" ca="1" si="21"/>
        <v>4</v>
      </c>
      <c r="G43">
        <f t="shared" ca="1" si="3"/>
        <v>146</v>
      </c>
      <c r="H43">
        <f t="shared" ca="1" si="4"/>
        <v>195</v>
      </c>
      <c r="I43">
        <f t="shared" ca="1" si="5"/>
        <v>2021</v>
      </c>
      <c r="J43" s="2">
        <f t="shared" ca="1" si="6"/>
        <v>3633039</v>
      </c>
      <c r="K43" s="4">
        <f t="shared" ca="1" si="7"/>
        <v>12693994</v>
      </c>
      <c r="L43" t="str">
        <f t="shared" ca="1" si="8"/>
        <v>Joy Ramos</v>
      </c>
      <c r="M43" t="str">
        <f t="shared" ca="1" si="9"/>
        <v>OFW</v>
      </c>
      <c r="N43" t="str">
        <f t="shared" ca="1" si="10"/>
        <v>Cash</v>
      </c>
      <c r="O43" s="1">
        <f t="shared" ca="1" si="11"/>
        <v>284</v>
      </c>
      <c r="P43" s="2">
        <f t="shared" ca="1" si="12"/>
        <v>380819.82</v>
      </c>
      <c r="Q43" s="2">
        <f t="shared" ca="1" si="13"/>
        <v>9060955</v>
      </c>
      <c r="R43" s="3">
        <f t="shared" ca="1" si="17"/>
        <v>65097.40512820513</v>
      </c>
      <c r="S43">
        <f t="shared" ca="1" si="14"/>
        <v>195</v>
      </c>
      <c r="T43" s="2">
        <f t="shared" ca="1" si="18"/>
        <v>3633036.5059571341</v>
      </c>
      <c r="U43" s="17">
        <f t="shared" si="19"/>
        <v>2023</v>
      </c>
      <c r="V43" s="20" t="str">
        <f t="shared" si="15"/>
        <v>Dec-2023</v>
      </c>
    </row>
    <row r="44" spans="1:22" x14ac:dyDescent="0.3">
      <c r="A44" t="str">
        <f t="shared" si="16"/>
        <v>TX-00044</v>
      </c>
      <c r="B44" s="6">
        <v>43376</v>
      </c>
      <c r="C44" t="str">
        <f t="shared" ca="1" si="0"/>
        <v>House &amp; Lot</v>
      </c>
      <c r="D44" s="1" t="str">
        <f t="shared" ca="1" si="1"/>
        <v>Makati</v>
      </c>
      <c r="E44" s="1">
        <f t="shared" ca="1" si="21"/>
        <v>1</v>
      </c>
      <c r="F44" s="1">
        <f t="shared" ca="1" si="21"/>
        <v>1</v>
      </c>
      <c r="G44">
        <f t="shared" ca="1" si="3"/>
        <v>67</v>
      </c>
      <c r="H44">
        <f t="shared" ca="1" si="4"/>
        <v>58</v>
      </c>
      <c r="I44">
        <f t="shared" ca="1" si="5"/>
        <v>2012</v>
      </c>
      <c r="J44" s="2">
        <f t="shared" ca="1" si="6"/>
        <v>11402398</v>
      </c>
      <c r="K44" s="4">
        <f t="shared" ca="1" si="7"/>
        <v>2085740</v>
      </c>
      <c r="L44" t="str">
        <f t="shared" ca="1" si="8"/>
        <v>Michael Santos</v>
      </c>
      <c r="M44" t="str">
        <f t="shared" ca="1" si="9"/>
        <v>Individual</v>
      </c>
      <c r="N44" t="str">
        <f t="shared" ca="1" si="10"/>
        <v>Cash</v>
      </c>
      <c r="O44" s="1">
        <f t="shared" ca="1" si="11"/>
        <v>371</v>
      </c>
      <c r="P44" s="2">
        <f t="shared" ca="1" si="12"/>
        <v>62572.2</v>
      </c>
      <c r="Q44" s="2">
        <f t="shared" ca="1" si="13"/>
        <v>-9316658</v>
      </c>
      <c r="R44" s="3">
        <f t="shared" ca="1" si="17"/>
        <v>35961.034482758623</v>
      </c>
      <c r="S44">
        <f t="shared" ca="1" si="14"/>
        <v>58</v>
      </c>
      <c r="T44" s="2">
        <f t="shared" ca="1" si="18"/>
        <v>11402398.817078829</v>
      </c>
      <c r="U44" s="17">
        <f t="shared" si="19"/>
        <v>2018</v>
      </c>
      <c r="V44" s="20" t="str">
        <f t="shared" si="15"/>
        <v>Oct-2018</v>
      </c>
    </row>
    <row r="45" spans="1:22" x14ac:dyDescent="0.3">
      <c r="A45" t="str">
        <f t="shared" si="16"/>
        <v>TX-00045</v>
      </c>
      <c r="B45" s="6">
        <v>46087</v>
      </c>
      <c r="C45" t="str">
        <f t="shared" ca="1" si="0"/>
        <v>Land</v>
      </c>
      <c r="D45" s="1" t="str">
        <f t="shared" ca="1" si="1"/>
        <v>Laguna</v>
      </c>
      <c r="E45" s="1">
        <f t="shared" ca="1" si="21"/>
        <v>2</v>
      </c>
      <c r="F45" s="1">
        <f t="shared" ca="1" si="21"/>
        <v>4</v>
      </c>
      <c r="G45">
        <f t="shared" ca="1" si="3"/>
        <v>181</v>
      </c>
      <c r="H45">
        <f t="shared" ca="1" si="4"/>
        <v>119</v>
      </c>
      <c r="I45">
        <f t="shared" ca="1" si="5"/>
        <v>2016</v>
      </c>
      <c r="J45" s="2">
        <f t="shared" ca="1" si="6"/>
        <v>9204387</v>
      </c>
      <c r="K45" s="4">
        <f t="shared" ca="1" si="7"/>
        <v>11385316</v>
      </c>
      <c r="L45" t="str">
        <f t="shared" ca="1" si="8"/>
        <v>Joy Ramos</v>
      </c>
      <c r="M45" t="str">
        <f t="shared" ca="1" si="9"/>
        <v>Corporation</v>
      </c>
      <c r="N45" t="str">
        <f t="shared" ca="1" si="10"/>
        <v>Installment</v>
      </c>
      <c r="O45" s="1">
        <f t="shared" ca="1" si="11"/>
        <v>267</v>
      </c>
      <c r="P45" s="2">
        <f t="shared" ca="1" si="12"/>
        <v>341559.48</v>
      </c>
      <c r="Q45" s="2">
        <f t="shared" ca="1" si="13"/>
        <v>2180929</v>
      </c>
      <c r="R45" s="3">
        <f t="shared" ca="1" si="17"/>
        <v>95674.924369747896</v>
      </c>
      <c r="S45">
        <f t="shared" ca="1" si="14"/>
        <v>119</v>
      </c>
      <c r="T45" s="2">
        <f t="shared" ca="1" si="18"/>
        <v>9204386.7630554866</v>
      </c>
      <c r="U45" s="17">
        <f t="shared" si="19"/>
        <v>2026</v>
      </c>
      <c r="V45" s="20" t="str">
        <f t="shared" si="15"/>
        <v>Mar-2026</v>
      </c>
    </row>
    <row r="46" spans="1:22" x14ac:dyDescent="0.3">
      <c r="A46" t="str">
        <f t="shared" si="16"/>
        <v>TX-00046</v>
      </c>
      <c r="B46" s="6">
        <v>43168</v>
      </c>
      <c r="C46" t="str">
        <f t="shared" ca="1" si="0"/>
        <v>Land</v>
      </c>
      <c r="D46" s="1" t="str">
        <f t="shared" ca="1" si="1"/>
        <v>Laguna</v>
      </c>
      <c r="E46" s="1">
        <f t="shared" ca="1" si="21"/>
        <v>1</v>
      </c>
      <c r="F46" s="1">
        <f t="shared" ca="1" si="21"/>
        <v>1</v>
      </c>
      <c r="G46">
        <f t="shared" ca="1" si="3"/>
        <v>83</v>
      </c>
      <c r="H46">
        <f t="shared" ca="1" si="4"/>
        <v>237</v>
      </c>
      <c r="I46">
        <f t="shared" ca="1" si="5"/>
        <v>2015</v>
      </c>
      <c r="J46" s="2">
        <f t="shared" ca="1" si="6"/>
        <v>5556938</v>
      </c>
      <c r="K46" s="4">
        <f t="shared" ca="1" si="7"/>
        <v>7049230</v>
      </c>
      <c r="L46" t="str">
        <f t="shared" ca="1" si="8"/>
        <v>Daniel Cruz</v>
      </c>
      <c r="M46" t="str">
        <f t="shared" ca="1" si="9"/>
        <v>Investor</v>
      </c>
      <c r="N46" t="str">
        <f t="shared" ca="1" si="10"/>
        <v>Cash</v>
      </c>
      <c r="O46" s="1">
        <f t="shared" ca="1" si="11"/>
        <v>326</v>
      </c>
      <c r="P46" s="2">
        <f t="shared" ca="1" si="12"/>
        <v>211476.9</v>
      </c>
      <c r="Q46" s="2">
        <f t="shared" ca="1" si="13"/>
        <v>1492292</v>
      </c>
      <c r="R46" s="3">
        <f t="shared" ca="1" si="17"/>
        <v>29743.586497890294</v>
      </c>
      <c r="S46">
        <f t="shared" ca="1" si="14"/>
        <v>237</v>
      </c>
      <c r="T46" s="2">
        <f t="shared" ca="1" si="18"/>
        <v>5556937.7314542653</v>
      </c>
      <c r="U46" s="17">
        <f t="shared" si="19"/>
        <v>2018</v>
      </c>
      <c r="V46" s="20" t="str">
        <f t="shared" si="15"/>
        <v>Mar-2018</v>
      </c>
    </row>
    <row r="47" spans="1:22" x14ac:dyDescent="0.3">
      <c r="A47" t="str">
        <f t="shared" si="16"/>
        <v>TX-00047</v>
      </c>
      <c r="B47" s="6">
        <v>43993</v>
      </c>
      <c r="C47" t="str">
        <f t="shared" ca="1" si="0"/>
        <v>House &amp; Lot</v>
      </c>
      <c r="D47" s="1" t="str">
        <f t="shared" ca="1" si="1"/>
        <v>Bulacan</v>
      </c>
      <c r="E47" s="1">
        <f t="shared" ca="1" si="21"/>
        <v>1</v>
      </c>
      <c r="F47" s="1">
        <f t="shared" ca="1" si="21"/>
        <v>4</v>
      </c>
      <c r="G47">
        <f t="shared" ca="1" si="3"/>
        <v>113</v>
      </c>
      <c r="H47">
        <f t="shared" ca="1" si="4"/>
        <v>100</v>
      </c>
      <c r="I47">
        <f t="shared" ca="1" si="5"/>
        <v>2017</v>
      </c>
      <c r="J47" s="2">
        <f t="shared" ca="1" si="6"/>
        <v>7325236</v>
      </c>
      <c r="K47" s="4">
        <f t="shared" ca="1" si="7"/>
        <v>4332362</v>
      </c>
      <c r="L47" t="str">
        <f t="shared" ca="1" si="8"/>
        <v>John Dela Cruz</v>
      </c>
      <c r="M47" t="str">
        <f t="shared" ca="1" si="9"/>
        <v>Corporation</v>
      </c>
      <c r="N47" t="str">
        <f t="shared" ca="1" si="10"/>
        <v>Bank Loan</v>
      </c>
      <c r="O47" s="1">
        <f t="shared" ca="1" si="11"/>
        <v>289</v>
      </c>
      <c r="P47" s="2">
        <f t="shared" ca="1" si="12"/>
        <v>129970.86</v>
      </c>
      <c r="Q47" s="2">
        <f t="shared" ca="1" si="13"/>
        <v>-2992874</v>
      </c>
      <c r="R47" s="3">
        <f t="shared" ca="1" si="17"/>
        <v>43323.62</v>
      </c>
      <c r="S47">
        <f t="shared" ca="1" si="14"/>
        <v>100</v>
      </c>
      <c r="T47" s="2">
        <f t="shared" ca="1" si="18"/>
        <v>7325236.4085703176</v>
      </c>
      <c r="U47" s="17">
        <f t="shared" si="19"/>
        <v>2020</v>
      </c>
      <c r="V47" s="20" t="str">
        <f t="shared" si="15"/>
        <v>Jun-2020</v>
      </c>
    </row>
    <row r="48" spans="1:22" x14ac:dyDescent="0.3">
      <c r="A48" t="str">
        <f t="shared" si="16"/>
        <v>TX-00048</v>
      </c>
      <c r="B48" s="6">
        <v>45875</v>
      </c>
      <c r="C48" t="str">
        <f t="shared" ca="1" si="0"/>
        <v>House &amp; Lot</v>
      </c>
      <c r="D48" s="1" t="str">
        <f t="shared" ca="1" si="1"/>
        <v>Makati</v>
      </c>
      <c r="E48" s="1">
        <f t="shared" ca="1" si="21"/>
        <v>2</v>
      </c>
      <c r="F48" s="1">
        <f t="shared" ca="1" si="21"/>
        <v>2</v>
      </c>
      <c r="G48">
        <f t="shared" ca="1" si="3"/>
        <v>46</v>
      </c>
      <c r="H48">
        <f t="shared" ca="1" si="4"/>
        <v>72</v>
      </c>
      <c r="I48">
        <f t="shared" ca="1" si="5"/>
        <v>2011</v>
      </c>
      <c r="J48" s="2">
        <f t="shared" ca="1" si="6"/>
        <v>11335704</v>
      </c>
      <c r="K48" s="4">
        <f t="shared" ca="1" si="7"/>
        <v>4244353</v>
      </c>
      <c r="L48" t="str">
        <f t="shared" ca="1" si="8"/>
        <v>Michelle Flores</v>
      </c>
      <c r="M48" t="str">
        <f t="shared" ca="1" si="9"/>
        <v>Investor</v>
      </c>
      <c r="N48" t="str">
        <f t="shared" ca="1" si="10"/>
        <v>Installment</v>
      </c>
      <c r="O48" s="1">
        <f t="shared" ca="1" si="11"/>
        <v>338</v>
      </c>
      <c r="P48" s="2">
        <f t="shared" ca="1" si="12"/>
        <v>127330.59</v>
      </c>
      <c r="Q48" s="2">
        <f t="shared" ca="1" si="13"/>
        <v>-7091351</v>
      </c>
      <c r="R48" s="3">
        <f t="shared" ca="1" si="17"/>
        <v>58949.347222222219</v>
      </c>
      <c r="S48">
        <f t="shared" ca="1" si="14"/>
        <v>72</v>
      </c>
      <c r="T48" s="2">
        <f t="shared" ca="1" si="18"/>
        <v>11335704.625576586</v>
      </c>
      <c r="U48" s="17">
        <f t="shared" si="19"/>
        <v>2025</v>
      </c>
      <c r="V48" s="20" t="str">
        <f t="shared" si="15"/>
        <v>Aug-2025</v>
      </c>
    </row>
    <row r="49" spans="1:22" x14ac:dyDescent="0.3">
      <c r="A49" t="str">
        <f t="shared" si="16"/>
        <v>TX-00049</v>
      </c>
      <c r="B49" s="6">
        <v>44437</v>
      </c>
      <c r="C49" t="str">
        <f t="shared" ca="1" si="0"/>
        <v>House &amp; Lot</v>
      </c>
      <c r="D49" s="1" t="str">
        <f t="shared" ca="1" si="1"/>
        <v>Cavite</v>
      </c>
      <c r="E49" s="1">
        <f t="shared" ca="1" si="21"/>
        <v>1</v>
      </c>
      <c r="F49" s="1">
        <f t="shared" ca="1" si="21"/>
        <v>1</v>
      </c>
      <c r="G49">
        <f t="shared" ca="1" si="3"/>
        <v>163</v>
      </c>
      <c r="H49">
        <f t="shared" ca="1" si="4"/>
        <v>138</v>
      </c>
      <c r="I49">
        <f t="shared" ca="1" si="5"/>
        <v>2020</v>
      </c>
      <c r="J49" s="2">
        <f t="shared" ca="1" si="6"/>
        <v>7337884</v>
      </c>
      <c r="K49" s="4">
        <f t="shared" ca="1" si="7"/>
        <v>10544400</v>
      </c>
      <c r="L49" t="str">
        <f t="shared" ca="1" si="8"/>
        <v>Daniel Cruz</v>
      </c>
      <c r="M49" t="str">
        <f t="shared" ca="1" si="9"/>
        <v>Corporation</v>
      </c>
      <c r="N49" t="str">
        <f t="shared" ca="1" si="10"/>
        <v>Cash</v>
      </c>
      <c r="O49" s="1">
        <f t="shared" ca="1" si="11"/>
        <v>166</v>
      </c>
      <c r="P49" s="2">
        <f t="shared" ca="1" si="12"/>
        <v>316332</v>
      </c>
      <c r="Q49" s="2">
        <f t="shared" ca="1" si="13"/>
        <v>3206516</v>
      </c>
      <c r="R49" s="3">
        <f t="shared" ca="1" si="17"/>
        <v>76408.695652173919</v>
      </c>
      <c r="S49">
        <f t="shared" ca="1" si="14"/>
        <v>138</v>
      </c>
      <c r="T49" s="2">
        <f t="shared" ca="1" si="18"/>
        <v>7337883.5630189851</v>
      </c>
      <c r="U49" s="17">
        <f t="shared" si="19"/>
        <v>2021</v>
      </c>
      <c r="V49" s="20" t="str">
        <f t="shared" si="15"/>
        <v>Aug-2021</v>
      </c>
    </row>
    <row r="50" spans="1:22" x14ac:dyDescent="0.3">
      <c r="A50" t="str">
        <f t="shared" si="16"/>
        <v>TX-00050</v>
      </c>
      <c r="B50" s="6">
        <v>45405</v>
      </c>
      <c r="C50" t="str">
        <f t="shared" ca="1" si="0"/>
        <v>Land</v>
      </c>
      <c r="D50" s="1" t="str">
        <f t="shared" ca="1" si="1"/>
        <v>Cavite</v>
      </c>
      <c r="E50" s="1">
        <f t="shared" ca="1" si="21"/>
        <v>1</v>
      </c>
      <c r="F50" s="1">
        <f t="shared" ca="1" si="21"/>
        <v>3</v>
      </c>
      <c r="G50">
        <f t="shared" ca="1" si="3"/>
        <v>86</v>
      </c>
      <c r="H50">
        <f t="shared" ca="1" si="4"/>
        <v>145</v>
      </c>
      <c r="I50">
        <f t="shared" ca="1" si="5"/>
        <v>2017</v>
      </c>
      <c r="J50" s="2">
        <f t="shared" ca="1" si="6"/>
        <v>2931751</v>
      </c>
      <c r="K50" s="4">
        <f t="shared" ca="1" si="7"/>
        <v>6848843</v>
      </c>
      <c r="L50" t="str">
        <f t="shared" ca="1" si="8"/>
        <v>Michelle Flores</v>
      </c>
      <c r="M50" t="str">
        <f t="shared" ca="1" si="9"/>
        <v>OFW</v>
      </c>
      <c r="N50" t="str">
        <f t="shared" ca="1" si="10"/>
        <v>Cash</v>
      </c>
      <c r="O50" s="1">
        <f t="shared" ca="1" si="11"/>
        <v>310</v>
      </c>
      <c r="P50" s="2">
        <f t="shared" ca="1" si="12"/>
        <v>205465.28999999998</v>
      </c>
      <c r="Q50" s="2">
        <f t="shared" ca="1" si="13"/>
        <v>3917092</v>
      </c>
      <c r="R50" s="3">
        <f t="shared" ca="1" si="17"/>
        <v>47233.4</v>
      </c>
      <c r="S50">
        <f t="shared" ca="1" si="14"/>
        <v>145</v>
      </c>
      <c r="T50" s="2">
        <f t="shared" ca="1" si="18"/>
        <v>2931749.6639069961</v>
      </c>
      <c r="U50" s="17">
        <f t="shared" si="19"/>
        <v>2024</v>
      </c>
      <c r="V50" s="20" t="str">
        <f t="shared" si="15"/>
        <v>Apr-2024</v>
      </c>
    </row>
    <row r="51" spans="1:22" x14ac:dyDescent="0.3">
      <c r="A51" t="str">
        <f t="shared" si="16"/>
        <v>TX-00051</v>
      </c>
      <c r="B51" s="6">
        <v>43974</v>
      </c>
      <c r="C51" t="str">
        <f t="shared" ca="1" si="0"/>
        <v>Commercial</v>
      </c>
      <c r="D51" s="1" t="str">
        <f t="shared" ca="1" si="1"/>
        <v>Cavite</v>
      </c>
      <c r="E51" s="1">
        <f t="shared" ca="1" si="21"/>
        <v>4</v>
      </c>
      <c r="F51" s="1">
        <f t="shared" ca="1" si="21"/>
        <v>3</v>
      </c>
      <c r="G51">
        <f t="shared" ca="1" si="3"/>
        <v>111</v>
      </c>
      <c r="H51">
        <f t="shared" ca="1" si="4"/>
        <v>65</v>
      </c>
      <c r="I51">
        <f t="shared" ca="1" si="5"/>
        <v>2013</v>
      </c>
      <c r="J51" s="2">
        <f t="shared" ca="1" si="6"/>
        <v>13899110</v>
      </c>
      <c r="K51" s="4">
        <f t="shared" ca="1" si="7"/>
        <v>1707618</v>
      </c>
      <c r="L51" t="str">
        <f t="shared" ca="1" si="8"/>
        <v>John Dela Cruz</v>
      </c>
      <c r="M51" t="str">
        <f t="shared" ca="1" si="9"/>
        <v>OFW</v>
      </c>
      <c r="N51" t="str">
        <f t="shared" ca="1" si="10"/>
        <v>Bank Loan</v>
      </c>
      <c r="O51" s="1">
        <f t="shared" ca="1" si="11"/>
        <v>117</v>
      </c>
      <c r="P51" s="2">
        <f t="shared" ca="1" si="12"/>
        <v>51228.54</v>
      </c>
      <c r="Q51" s="2">
        <f t="shared" ca="1" si="13"/>
        <v>-12191492</v>
      </c>
      <c r="R51" s="3">
        <f t="shared" ca="1" si="17"/>
        <v>26271.046153846153</v>
      </c>
      <c r="S51">
        <f t="shared" ca="1" si="14"/>
        <v>65</v>
      </c>
      <c r="T51" s="2">
        <f t="shared" ca="1" si="18"/>
        <v>13899110.877141917</v>
      </c>
      <c r="U51" s="17">
        <f t="shared" si="19"/>
        <v>2020</v>
      </c>
      <c r="V51" s="20" t="str">
        <f t="shared" si="15"/>
        <v>May-2020</v>
      </c>
    </row>
    <row r="52" spans="1:22" x14ac:dyDescent="0.3">
      <c r="A52" t="str">
        <f t="shared" si="16"/>
        <v>TX-00052</v>
      </c>
      <c r="B52" s="6">
        <v>45824</v>
      </c>
      <c r="C52" t="str">
        <f t="shared" ca="1" si="0"/>
        <v>Condo</v>
      </c>
      <c r="D52" s="1" t="str">
        <f t="shared" ca="1" si="1"/>
        <v>Makati</v>
      </c>
      <c r="E52" s="1">
        <f t="shared" ca="1" si="21"/>
        <v>3</v>
      </c>
      <c r="F52" s="1">
        <f t="shared" ca="1" si="21"/>
        <v>2</v>
      </c>
      <c r="G52">
        <f t="shared" ca="1" si="3"/>
        <v>133</v>
      </c>
      <c r="H52">
        <f t="shared" ca="1" si="4"/>
        <v>65</v>
      </c>
      <c r="I52">
        <f t="shared" ca="1" si="5"/>
        <v>2013</v>
      </c>
      <c r="J52" s="2">
        <f t="shared" ca="1" si="6"/>
        <v>11742472</v>
      </c>
      <c r="K52" s="4">
        <f t="shared" ca="1" si="7"/>
        <v>1767948</v>
      </c>
      <c r="L52" t="str">
        <f t="shared" ca="1" si="8"/>
        <v>Joy Ramos</v>
      </c>
      <c r="M52" t="str">
        <f t="shared" ca="1" si="9"/>
        <v>Investor</v>
      </c>
      <c r="N52" t="str">
        <f t="shared" ca="1" si="10"/>
        <v>Bank Loan</v>
      </c>
      <c r="O52" s="1">
        <f t="shared" ca="1" si="11"/>
        <v>304</v>
      </c>
      <c r="P52" s="2">
        <f t="shared" ca="1" si="12"/>
        <v>53038.439999999995</v>
      </c>
      <c r="Q52" s="2">
        <f t="shared" ca="1" si="13"/>
        <v>-9974524</v>
      </c>
      <c r="R52" s="3">
        <f t="shared" ca="1" si="17"/>
        <v>13292.842105263158</v>
      </c>
      <c r="S52">
        <f t="shared" ca="1" si="14"/>
        <v>133</v>
      </c>
      <c r="T52" s="2">
        <f t="shared" ca="1" si="18"/>
        <v>11742472.84943988</v>
      </c>
      <c r="U52" s="17">
        <f t="shared" si="19"/>
        <v>2025</v>
      </c>
      <c r="V52" s="20" t="str">
        <f t="shared" si="15"/>
        <v>Jun-2025</v>
      </c>
    </row>
    <row r="53" spans="1:22" x14ac:dyDescent="0.3">
      <c r="A53" t="str">
        <f t="shared" si="16"/>
        <v>TX-00053</v>
      </c>
      <c r="B53" s="6">
        <v>44775</v>
      </c>
      <c r="C53" t="str">
        <f t="shared" ca="1" si="0"/>
        <v>Condo</v>
      </c>
      <c r="D53" s="1" t="str">
        <f t="shared" ca="1" si="1"/>
        <v>Bulacan</v>
      </c>
      <c r="E53" s="1">
        <f t="shared" ca="1" si="21"/>
        <v>1</v>
      </c>
      <c r="F53" s="1">
        <f t="shared" ca="1" si="21"/>
        <v>1</v>
      </c>
      <c r="G53">
        <f t="shared" ca="1" si="3"/>
        <v>170</v>
      </c>
      <c r="H53">
        <f t="shared" ca="1" si="4"/>
        <v>81</v>
      </c>
      <c r="I53">
        <f t="shared" ca="1" si="5"/>
        <v>2016</v>
      </c>
      <c r="J53" s="2">
        <f t="shared" ca="1" si="6"/>
        <v>7196241</v>
      </c>
      <c r="K53" s="4">
        <f t="shared" ca="1" si="7"/>
        <v>11716795</v>
      </c>
      <c r="L53" t="str">
        <f t="shared" ca="1" si="8"/>
        <v>Rachel Villanueva</v>
      </c>
      <c r="M53" t="str">
        <f t="shared" ca="1" si="9"/>
        <v>Investor</v>
      </c>
      <c r="N53" t="str">
        <f t="shared" ca="1" si="10"/>
        <v>Installment</v>
      </c>
      <c r="O53" s="1">
        <f t="shared" ca="1" si="11"/>
        <v>280</v>
      </c>
      <c r="P53" s="2">
        <f t="shared" ca="1" si="12"/>
        <v>351503.85</v>
      </c>
      <c r="Q53" s="2">
        <f t="shared" ca="1" si="13"/>
        <v>4520554</v>
      </c>
      <c r="R53" s="3">
        <f t="shared" ca="1" si="17"/>
        <v>68922.323529411762</v>
      </c>
      <c r="S53">
        <f t="shared" ca="1" si="14"/>
        <v>170</v>
      </c>
      <c r="T53" s="2">
        <f t="shared" ca="1" si="18"/>
        <v>7196240.3718173141</v>
      </c>
      <c r="U53" s="17">
        <f t="shared" si="19"/>
        <v>2022</v>
      </c>
      <c r="V53" s="20" t="str">
        <f t="shared" si="15"/>
        <v>Aug-2022</v>
      </c>
    </row>
    <row r="54" spans="1:22" x14ac:dyDescent="0.3">
      <c r="A54" t="str">
        <f t="shared" si="16"/>
        <v>TX-00054</v>
      </c>
      <c r="B54" s="6">
        <v>45265</v>
      </c>
      <c r="C54" t="str">
        <f t="shared" ca="1" si="0"/>
        <v>Condo</v>
      </c>
      <c r="D54" s="1" t="str">
        <f t="shared" ca="1" si="1"/>
        <v>Makati</v>
      </c>
      <c r="E54" s="1">
        <f t="shared" ca="1" si="21"/>
        <v>2</v>
      </c>
      <c r="F54" s="1">
        <f t="shared" ca="1" si="21"/>
        <v>3</v>
      </c>
      <c r="G54">
        <f t="shared" ca="1" si="3"/>
        <v>89</v>
      </c>
      <c r="H54">
        <f t="shared" ca="1" si="4"/>
        <v>177</v>
      </c>
      <c r="I54">
        <f t="shared" ca="1" si="5"/>
        <v>2011</v>
      </c>
      <c r="J54" s="2">
        <f t="shared" ca="1" si="6"/>
        <v>8359292</v>
      </c>
      <c r="K54" s="4">
        <f t="shared" ca="1" si="7"/>
        <v>11259629</v>
      </c>
      <c r="L54" t="str">
        <f t="shared" ca="1" si="8"/>
        <v>Michelle Flores</v>
      </c>
      <c r="M54" t="str">
        <f t="shared" ca="1" si="9"/>
        <v>Individual</v>
      </c>
      <c r="N54" t="str">
        <f t="shared" ca="1" si="10"/>
        <v>Bank Loan</v>
      </c>
      <c r="O54" s="1">
        <f t="shared" ca="1" si="11"/>
        <v>204</v>
      </c>
      <c r="P54" s="2">
        <f t="shared" ca="1" si="12"/>
        <v>337788.87</v>
      </c>
      <c r="Q54" s="2">
        <f t="shared" ca="1" si="13"/>
        <v>2900337</v>
      </c>
      <c r="R54" s="3">
        <f t="shared" ca="1" si="17"/>
        <v>126512.68539325842</v>
      </c>
      <c r="S54">
        <f t="shared" ca="1" si="14"/>
        <v>89</v>
      </c>
      <c r="T54" s="2">
        <f t="shared" ca="1" si="18"/>
        <v>8359291.6530403532</v>
      </c>
      <c r="U54" s="17">
        <f t="shared" si="19"/>
        <v>2023</v>
      </c>
      <c r="V54" s="20" t="str">
        <f t="shared" si="15"/>
        <v>Dec-2023</v>
      </c>
    </row>
    <row r="55" spans="1:22" x14ac:dyDescent="0.3">
      <c r="A55" t="str">
        <f t="shared" si="16"/>
        <v>TX-00055</v>
      </c>
      <c r="B55" s="6">
        <v>43125</v>
      </c>
      <c r="C55" t="str">
        <f t="shared" ca="1" si="0"/>
        <v>Commercial</v>
      </c>
      <c r="D55" s="1" t="str">
        <f t="shared" ca="1" si="1"/>
        <v>Bulacan</v>
      </c>
      <c r="E55" s="1">
        <f t="shared" ca="1" si="21"/>
        <v>4</v>
      </c>
      <c r="F55" s="1">
        <f t="shared" ca="1" si="21"/>
        <v>4</v>
      </c>
      <c r="G55">
        <f t="shared" ca="1" si="3"/>
        <v>45</v>
      </c>
      <c r="H55">
        <f t="shared" ca="1" si="4"/>
        <v>170</v>
      </c>
      <c r="I55">
        <f t="shared" ca="1" si="5"/>
        <v>2017</v>
      </c>
      <c r="J55" s="2">
        <f t="shared" ca="1" si="6"/>
        <v>10795726</v>
      </c>
      <c r="K55" s="4">
        <f t="shared" ca="1" si="7"/>
        <v>7341199</v>
      </c>
      <c r="L55" t="str">
        <f t="shared" ca="1" si="8"/>
        <v>Mary Garcia</v>
      </c>
      <c r="M55" t="str">
        <f t="shared" ca="1" si="9"/>
        <v>Individual</v>
      </c>
      <c r="N55" t="str">
        <f t="shared" ca="1" si="10"/>
        <v>Installment</v>
      </c>
      <c r="O55" s="1">
        <f t="shared" ca="1" si="11"/>
        <v>194</v>
      </c>
      <c r="P55" s="2">
        <f t="shared" ca="1" si="12"/>
        <v>220235.97</v>
      </c>
      <c r="Q55" s="2">
        <f t="shared" ca="1" si="13"/>
        <v>-3454527</v>
      </c>
      <c r="R55" s="3">
        <f t="shared" ca="1" si="17"/>
        <v>43183.523529411767</v>
      </c>
      <c r="S55">
        <f t="shared" ca="1" si="14"/>
        <v>170</v>
      </c>
      <c r="T55" s="2">
        <f t="shared" ca="1" si="18"/>
        <v>10795726.319990244</v>
      </c>
      <c r="U55" s="17">
        <f t="shared" si="19"/>
        <v>2018</v>
      </c>
      <c r="V55" s="20" t="str">
        <f t="shared" si="15"/>
        <v>Jan-2018</v>
      </c>
    </row>
    <row r="56" spans="1:22" x14ac:dyDescent="0.3">
      <c r="A56" t="str">
        <f t="shared" si="16"/>
        <v>TX-00056</v>
      </c>
      <c r="B56" s="6">
        <v>45923</v>
      </c>
      <c r="C56" t="str">
        <f t="shared" ca="1" si="0"/>
        <v>House &amp; Lot</v>
      </c>
      <c r="D56" s="1" t="str">
        <f t="shared" ca="1" si="1"/>
        <v>Laguna</v>
      </c>
      <c r="E56" s="1">
        <f t="shared" ca="1" si="21"/>
        <v>4</v>
      </c>
      <c r="F56" s="1">
        <f t="shared" ca="1" si="21"/>
        <v>3</v>
      </c>
      <c r="G56">
        <f t="shared" ca="1" si="3"/>
        <v>189</v>
      </c>
      <c r="H56">
        <f t="shared" ca="1" si="4"/>
        <v>220</v>
      </c>
      <c r="I56">
        <f t="shared" ca="1" si="5"/>
        <v>2016</v>
      </c>
      <c r="J56" s="2">
        <f t="shared" ca="1" si="6"/>
        <v>9856889</v>
      </c>
      <c r="K56" s="4">
        <f t="shared" ca="1" si="7"/>
        <v>5252917</v>
      </c>
      <c r="L56" t="str">
        <f t="shared" ca="1" si="8"/>
        <v>Michael Santos</v>
      </c>
      <c r="M56" t="str">
        <f t="shared" ca="1" si="9"/>
        <v>Individual</v>
      </c>
      <c r="N56" t="str">
        <f t="shared" ca="1" si="10"/>
        <v>Bank Loan</v>
      </c>
      <c r="O56" s="1">
        <f t="shared" ca="1" si="11"/>
        <v>348</v>
      </c>
      <c r="P56" s="2">
        <f t="shared" ca="1" si="12"/>
        <v>157587.50999999998</v>
      </c>
      <c r="Q56" s="2">
        <f t="shared" ca="1" si="13"/>
        <v>-4603972</v>
      </c>
      <c r="R56" s="3">
        <f t="shared" ca="1" si="17"/>
        <v>23876.895454545454</v>
      </c>
      <c r="S56">
        <f t="shared" ca="1" si="14"/>
        <v>220</v>
      </c>
      <c r="T56" s="2">
        <f t="shared" ca="1" si="18"/>
        <v>9856889.467081653</v>
      </c>
      <c r="U56" s="17">
        <f t="shared" si="19"/>
        <v>2025</v>
      </c>
      <c r="V56" s="20" t="str">
        <f t="shared" si="15"/>
        <v>Sep-2025</v>
      </c>
    </row>
    <row r="57" spans="1:22" x14ac:dyDescent="0.3">
      <c r="A57" t="str">
        <f t="shared" si="16"/>
        <v>TX-00057</v>
      </c>
      <c r="B57" s="6">
        <v>43655</v>
      </c>
      <c r="C57" t="str">
        <f t="shared" ca="1" si="0"/>
        <v>Land</v>
      </c>
      <c r="D57" s="1" t="str">
        <f t="shared" ca="1" si="1"/>
        <v>Laguna</v>
      </c>
      <c r="E57" s="1">
        <f t="shared" ca="1" si="21"/>
        <v>2</v>
      </c>
      <c r="F57" s="1">
        <f t="shared" ca="1" si="21"/>
        <v>3</v>
      </c>
      <c r="G57">
        <f t="shared" ca="1" si="3"/>
        <v>173</v>
      </c>
      <c r="H57">
        <f t="shared" ca="1" si="4"/>
        <v>177</v>
      </c>
      <c r="I57">
        <f t="shared" ca="1" si="5"/>
        <v>2012</v>
      </c>
      <c r="J57" s="2">
        <f t="shared" ca="1" si="6"/>
        <v>9837121</v>
      </c>
      <c r="K57" s="4">
        <f t="shared" ca="1" si="7"/>
        <v>11392585</v>
      </c>
      <c r="L57" t="str">
        <f t="shared" ca="1" si="8"/>
        <v>Mark Reyes</v>
      </c>
      <c r="M57" t="str">
        <f t="shared" ca="1" si="9"/>
        <v>Corporation</v>
      </c>
      <c r="N57" t="str">
        <f t="shared" ca="1" si="10"/>
        <v>Pag-IBIG Loan</v>
      </c>
      <c r="O57" s="1">
        <f t="shared" ca="1" si="11"/>
        <v>104</v>
      </c>
      <c r="P57" s="2">
        <f t="shared" ca="1" si="12"/>
        <v>341777.55</v>
      </c>
      <c r="Q57" s="2">
        <f t="shared" ca="1" si="13"/>
        <v>1555464</v>
      </c>
      <c r="R57" s="3">
        <f t="shared" ca="1" si="17"/>
        <v>64364.887005649718</v>
      </c>
      <c r="S57">
        <f t="shared" ca="1" si="14"/>
        <v>177</v>
      </c>
      <c r="T57" s="2">
        <f t="shared" ca="1" si="18"/>
        <v>9837120.8418781273</v>
      </c>
      <c r="U57" s="17">
        <f t="shared" si="19"/>
        <v>2019</v>
      </c>
      <c r="V57" s="20" t="str">
        <f t="shared" si="15"/>
        <v>Jul-2019</v>
      </c>
    </row>
    <row r="58" spans="1:22" x14ac:dyDescent="0.3">
      <c r="A58" t="str">
        <f t="shared" si="16"/>
        <v>TX-00058</v>
      </c>
      <c r="B58" s="6">
        <v>43178</v>
      </c>
      <c r="C58" t="str">
        <f t="shared" ca="1" si="0"/>
        <v>Condo</v>
      </c>
      <c r="D58" s="1" t="str">
        <f t="shared" ca="1" si="1"/>
        <v>Cavite</v>
      </c>
      <c r="E58" s="1">
        <f t="shared" ca="1" si="21"/>
        <v>1</v>
      </c>
      <c r="F58" s="1">
        <f t="shared" ca="1" si="21"/>
        <v>2</v>
      </c>
      <c r="G58">
        <f t="shared" ca="1" si="3"/>
        <v>129</v>
      </c>
      <c r="H58">
        <f t="shared" ca="1" si="4"/>
        <v>60</v>
      </c>
      <c r="I58">
        <f t="shared" ca="1" si="5"/>
        <v>2012</v>
      </c>
      <c r="J58" s="2">
        <f t="shared" ca="1" si="6"/>
        <v>11141974</v>
      </c>
      <c r="K58" s="4">
        <f t="shared" ca="1" si="7"/>
        <v>11850055</v>
      </c>
      <c r="L58" t="str">
        <f t="shared" ca="1" si="8"/>
        <v>Michael Santos</v>
      </c>
      <c r="M58" t="str">
        <f t="shared" ca="1" si="9"/>
        <v>Investor</v>
      </c>
      <c r="N58" t="str">
        <f t="shared" ca="1" si="10"/>
        <v>Installment</v>
      </c>
      <c r="O58" s="1">
        <f t="shared" ca="1" si="11"/>
        <v>331</v>
      </c>
      <c r="P58" s="2">
        <f t="shared" ca="1" si="12"/>
        <v>355501.64999999997</v>
      </c>
      <c r="Q58" s="2">
        <f t="shared" ca="1" si="13"/>
        <v>708081</v>
      </c>
      <c r="R58" s="3">
        <f t="shared" ca="1" si="17"/>
        <v>91860.891472868214</v>
      </c>
      <c r="S58">
        <f t="shared" ca="1" si="14"/>
        <v>129</v>
      </c>
      <c r="T58" s="2">
        <f t="shared" ca="1" si="18"/>
        <v>11141973.936449232</v>
      </c>
      <c r="U58" s="17">
        <f t="shared" si="19"/>
        <v>2018</v>
      </c>
      <c r="V58" s="20" t="str">
        <f t="shared" si="15"/>
        <v>Mar-2018</v>
      </c>
    </row>
    <row r="59" spans="1:22" x14ac:dyDescent="0.3">
      <c r="A59" t="str">
        <f t="shared" si="16"/>
        <v>TX-00059</v>
      </c>
      <c r="B59" s="6">
        <v>44834</v>
      </c>
      <c r="C59" t="str">
        <f t="shared" ca="1" si="0"/>
        <v>House &amp; Lot</v>
      </c>
      <c r="D59" s="1" t="str">
        <f t="shared" ca="1" si="1"/>
        <v>Makati</v>
      </c>
      <c r="E59" s="1">
        <f t="shared" ca="1" si="21"/>
        <v>2</v>
      </c>
      <c r="F59" s="1">
        <f t="shared" ca="1" si="21"/>
        <v>2</v>
      </c>
      <c r="G59">
        <f t="shared" ca="1" si="3"/>
        <v>184</v>
      </c>
      <c r="H59">
        <f t="shared" ca="1" si="4"/>
        <v>111</v>
      </c>
      <c r="I59">
        <f t="shared" ca="1" si="5"/>
        <v>2021</v>
      </c>
      <c r="J59" s="2">
        <f t="shared" ca="1" si="6"/>
        <v>10683462</v>
      </c>
      <c r="K59" s="4">
        <f t="shared" ca="1" si="7"/>
        <v>5070608</v>
      </c>
      <c r="L59" t="str">
        <f t="shared" ca="1" si="8"/>
        <v>Anna Mendoza</v>
      </c>
      <c r="M59" t="str">
        <f t="shared" ca="1" si="9"/>
        <v>OFW</v>
      </c>
      <c r="N59" t="str">
        <f t="shared" ca="1" si="10"/>
        <v>Installment</v>
      </c>
      <c r="O59" s="1">
        <f t="shared" ca="1" si="11"/>
        <v>319</v>
      </c>
      <c r="P59" s="2">
        <f t="shared" ca="1" si="12"/>
        <v>152118.24</v>
      </c>
      <c r="Q59" s="2">
        <f t="shared" ca="1" si="13"/>
        <v>-5612854</v>
      </c>
      <c r="R59" s="3">
        <f t="shared" ca="1" si="17"/>
        <v>45681.153153153151</v>
      </c>
      <c r="S59">
        <f t="shared" ca="1" si="14"/>
        <v>111</v>
      </c>
      <c r="T59" s="2">
        <f t="shared" ca="1" si="18"/>
        <v>10683462.525377823</v>
      </c>
      <c r="U59" s="17">
        <f t="shared" si="19"/>
        <v>2022</v>
      </c>
      <c r="V59" s="20" t="str">
        <f t="shared" si="15"/>
        <v>Sep-2022</v>
      </c>
    </row>
    <row r="60" spans="1:22" x14ac:dyDescent="0.3">
      <c r="A60" t="str">
        <f t="shared" si="16"/>
        <v>TX-00060</v>
      </c>
      <c r="B60" s="6">
        <v>43952</v>
      </c>
      <c r="C60" t="str">
        <f t="shared" ca="1" si="0"/>
        <v>Land</v>
      </c>
      <c r="D60" s="1" t="str">
        <f t="shared" ca="1" si="1"/>
        <v>Laguna</v>
      </c>
      <c r="E60" s="1">
        <f t="shared" ca="1" si="21"/>
        <v>1</v>
      </c>
      <c r="F60" s="1">
        <f t="shared" ca="1" si="21"/>
        <v>3</v>
      </c>
      <c r="G60">
        <f t="shared" ca="1" si="3"/>
        <v>192</v>
      </c>
      <c r="H60">
        <f t="shared" ca="1" si="4"/>
        <v>132</v>
      </c>
      <c r="I60">
        <f t="shared" ca="1" si="5"/>
        <v>2021</v>
      </c>
      <c r="J60" s="2">
        <f t="shared" ca="1" si="6"/>
        <v>8351543</v>
      </c>
      <c r="K60" s="4">
        <f t="shared" ca="1" si="7"/>
        <v>11737594</v>
      </c>
      <c r="L60" t="str">
        <f t="shared" ca="1" si="8"/>
        <v>Anna Mendoza</v>
      </c>
      <c r="M60" t="str">
        <f t="shared" ca="1" si="9"/>
        <v>Investor</v>
      </c>
      <c r="N60" t="str">
        <f t="shared" ca="1" si="10"/>
        <v>Bank Loan</v>
      </c>
      <c r="O60" s="1">
        <f t="shared" ca="1" si="11"/>
        <v>221</v>
      </c>
      <c r="P60" s="2">
        <f t="shared" ca="1" si="12"/>
        <v>352127.82</v>
      </c>
      <c r="Q60" s="2">
        <f t="shared" ca="1" si="13"/>
        <v>3386051</v>
      </c>
      <c r="R60" s="3">
        <f t="shared" ca="1" si="17"/>
        <v>88921.166666666672</v>
      </c>
      <c r="S60">
        <f t="shared" ca="1" si="14"/>
        <v>132</v>
      </c>
      <c r="T60" s="2">
        <f t="shared" ca="1" si="18"/>
        <v>8351542.5945598315</v>
      </c>
      <c r="U60" s="17">
        <f t="shared" si="19"/>
        <v>2020</v>
      </c>
      <c r="V60" s="20" t="str">
        <f t="shared" si="15"/>
        <v>May-2020</v>
      </c>
    </row>
    <row r="61" spans="1:22" x14ac:dyDescent="0.3">
      <c r="A61" t="str">
        <f t="shared" si="16"/>
        <v>TX-00061</v>
      </c>
      <c r="B61" s="6">
        <v>43524</v>
      </c>
      <c r="C61" t="str">
        <f t="shared" ca="1" si="0"/>
        <v>House &amp; Lot</v>
      </c>
      <c r="D61" s="1" t="str">
        <f t="shared" ca="1" si="1"/>
        <v>Cavite</v>
      </c>
      <c r="E61" s="1">
        <f t="shared" ca="1" si="21"/>
        <v>4</v>
      </c>
      <c r="F61" s="1">
        <f t="shared" ca="1" si="21"/>
        <v>4</v>
      </c>
      <c r="G61">
        <f t="shared" ca="1" si="3"/>
        <v>45</v>
      </c>
      <c r="H61">
        <f t="shared" ca="1" si="4"/>
        <v>245</v>
      </c>
      <c r="I61">
        <f t="shared" ca="1" si="5"/>
        <v>2023</v>
      </c>
      <c r="J61" s="2">
        <f t="shared" ca="1" si="6"/>
        <v>4848526</v>
      </c>
      <c r="K61" s="4">
        <f t="shared" ca="1" si="7"/>
        <v>5700225</v>
      </c>
      <c r="L61" t="str">
        <f t="shared" ca="1" si="8"/>
        <v>Michael Santos</v>
      </c>
      <c r="M61" t="str">
        <f t="shared" ca="1" si="9"/>
        <v>Investor</v>
      </c>
      <c r="N61" t="str">
        <f t="shared" ca="1" si="10"/>
        <v>Bank Loan</v>
      </c>
      <c r="O61" s="1">
        <f t="shared" ca="1" si="11"/>
        <v>220</v>
      </c>
      <c r="P61" s="2">
        <f t="shared" ca="1" si="12"/>
        <v>171006.75</v>
      </c>
      <c r="Q61" s="2">
        <f t="shared" ca="1" si="13"/>
        <v>851699</v>
      </c>
      <c r="R61" s="3">
        <f t="shared" ca="1" si="17"/>
        <v>23266.224489795917</v>
      </c>
      <c r="S61">
        <f t="shared" ca="1" si="14"/>
        <v>245</v>
      </c>
      <c r="T61" s="2">
        <f t="shared" ca="1" si="18"/>
        <v>4848525.8243385721</v>
      </c>
      <c r="U61" s="17">
        <f t="shared" si="19"/>
        <v>2019</v>
      </c>
      <c r="V61" s="20" t="str">
        <f t="shared" si="15"/>
        <v>Feb-2019</v>
      </c>
    </row>
    <row r="62" spans="1:22" x14ac:dyDescent="0.3">
      <c r="A62" t="str">
        <f t="shared" si="16"/>
        <v>TX-00062</v>
      </c>
      <c r="B62" s="6">
        <v>45887</v>
      </c>
      <c r="C62" t="str">
        <f t="shared" ca="1" si="0"/>
        <v>Commercial</v>
      </c>
      <c r="D62" s="1" t="str">
        <f t="shared" ca="1" si="1"/>
        <v>Cavite</v>
      </c>
      <c r="E62" s="1">
        <f t="shared" ref="E62:F81" ca="1" si="22">RANDBETWEEN(1,4)</f>
        <v>2</v>
      </c>
      <c r="F62" s="1">
        <f t="shared" ca="1" si="22"/>
        <v>2</v>
      </c>
      <c r="G62">
        <f t="shared" ca="1" si="3"/>
        <v>152</v>
      </c>
      <c r="H62">
        <f t="shared" ca="1" si="4"/>
        <v>216</v>
      </c>
      <c r="I62">
        <f t="shared" ca="1" si="5"/>
        <v>2021</v>
      </c>
      <c r="J62" s="2">
        <f t="shared" ca="1" si="6"/>
        <v>10015545</v>
      </c>
      <c r="K62" s="4">
        <f t="shared" ca="1" si="7"/>
        <v>11475520</v>
      </c>
      <c r="L62" t="str">
        <f t="shared" ca="1" si="8"/>
        <v>Rachel Villanueva</v>
      </c>
      <c r="M62" t="str">
        <f t="shared" ca="1" si="9"/>
        <v>Corporation</v>
      </c>
      <c r="N62" t="str">
        <f t="shared" ca="1" si="10"/>
        <v>Installment</v>
      </c>
      <c r="O62" s="1">
        <f t="shared" ca="1" si="11"/>
        <v>142</v>
      </c>
      <c r="P62" s="2">
        <f t="shared" ca="1" si="12"/>
        <v>344265.6</v>
      </c>
      <c r="Q62" s="2">
        <f t="shared" ca="1" si="13"/>
        <v>1459975</v>
      </c>
      <c r="R62" s="3">
        <f t="shared" ca="1" si="17"/>
        <v>53127.407407407409</v>
      </c>
      <c r="S62">
        <f t="shared" ca="1" si="14"/>
        <v>216</v>
      </c>
      <c r="T62" s="2">
        <f t="shared" ca="1" si="18"/>
        <v>10015544.8542291</v>
      </c>
      <c r="U62" s="17">
        <f t="shared" si="19"/>
        <v>2025</v>
      </c>
      <c r="V62" s="20" t="str">
        <f t="shared" si="15"/>
        <v>Aug-2025</v>
      </c>
    </row>
    <row r="63" spans="1:22" x14ac:dyDescent="0.3">
      <c r="A63" t="str">
        <f t="shared" si="16"/>
        <v>TX-00063</v>
      </c>
      <c r="B63" s="6">
        <v>44038</v>
      </c>
      <c r="C63" t="str">
        <f t="shared" ca="1" si="0"/>
        <v>Land</v>
      </c>
      <c r="D63" s="1" t="str">
        <f t="shared" ca="1" si="1"/>
        <v>Laguna</v>
      </c>
      <c r="E63" s="1">
        <f t="shared" ca="1" si="22"/>
        <v>3</v>
      </c>
      <c r="F63" s="1">
        <f t="shared" ca="1" si="22"/>
        <v>3</v>
      </c>
      <c r="G63">
        <f t="shared" ca="1" si="3"/>
        <v>196</v>
      </c>
      <c r="H63">
        <f t="shared" ca="1" si="4"/>
        <v>199</v>
      </c>
      <c r="I63">
        <f t="shared" ca="1" si="5"/>
        <v>2013</v>
      </c>
      <c r="J63" s="2">
        <f t="shared" ca="1" si="6"/>
        <v>9730771</v>
      </c>
      <c r="K63" s="4">
        <f t="shared" ca="1" si="7"/>
        <v>11146580</v>
      </c>
      <c r="L63" t="str">
        <f t="shared" ca="1" si="8"/>
        <v>Michael Santos</v>
      </c>
      <c r="M63" t="str">
        <f t="shared" ca="1" si="9"/>
        <v>Corporation</v>
      </c>
      <c r="N63" t="str">
        <f t="shared" ca="1" si="10"/>
        <v>Pag-IBIG Loan</v>
      </c>
      <c r="O63" s="1">
        <f t="shared" ca="1" si="11"/>
        <v>341</v>
      </c>
      <c r="P63" s="2">
        <f t="shared" ca="1" si="12"/>
        <v>334397.39999999997</v>
      </c>
      <c r="Q63" s="2">
        <f t="shared" ca="1" si="13"/>
        <v>1415809</v>
      </c>
      <c r="R63" s="3">
        <f t="shared" ca="1" si="17"/>
        <v>56012.964824120601</v>
      </c>
      <c r="S63">
        <f t="shared" ca="1" si="14"/>
        <v>199</v>
      </c>
      <c r="T63" s="2">
        <f t="shared" ca="1" si="18"/>
        <v>9730770.8545018677</v>
      </c>
      <c r="U63" s="17">
        <f t="shared" si="19"/>
        <v>2020</v>
      </c>
      <c r="V63" s="20" t="str">
        <f t="shared" si="15"/>
        <v>Jul-2020</v>
      </c>
    </row>
    <row r="64" spans="1:22" x14ac:dyDescent="0.3">
      <c r="A64" t="str">
        <f t="shared" si="16"/>
        <v>TX-00064</v>
      </c>
      <c r="B64" s="6">
        <v>45257</v>
      </c>
      <c r="C64" t="str">
        <f t="shared" ca="1" si="0"/>
        <v>Condo</v>
      </c>
      <c r="D64" s="1" t="str">
        <f t="shared" ca="1" si="1"/>
        <v>Cavite</v>
      </c>
      <c r="E64" s="1">
        <f t="shared" ca="1" si="22"/>
        <v>4</v>
      </c>
      <c r="F64" s="1">
        <f t="shared" ca="1" si="22"/>
        <v>3</v>
      </c>
      <c r="G64">
        <f t="shared" ca="1" si="3"/>
        <v>82</v>
      </c>
      <c r="H64">
        <f t="shared" ca="1" si="4"/>
        <v>215</v>
      </c>
      <c r="I64">
        <f t="shared" ca="1" si="5"/>
        <v>2011</v>
      </c>
      <c r="J64" s="2">
        <f t="shared" ca="1" si="6"/>
        <v>5451390</v>
      </c>
      <c r="K64" s="4">
        <f t="shared" ca="1" si="7"/>
        <v>6075844</v>
      </c>
      <c r="L64" t="str">
        <f t="shared" ca="1" si="8"/>
        <v>Mark Reyes</v>
      </c>
      <c r="M64" t="str">
        <f t="shared" ca="1" si="9"/>
        <v>Individual</v>
      </c>
      <c r="N64" t="str">
        <f t="shared" ca="1" si="10"/>
        <v>Bank Loan</v>
      </c>
      <c r="O64" s="1">
        <f t="shared" ca="1" si="11"/>
        <v>135</v>
      </c>
      <c r="P64" s="2">
        <f t="shared" ca="1" si="12"/>
        <v>182275.32</v>
      </c>
      <c r="Q64" s="2">
        <f t="shared" ca="1" si="13"/>
        <v>624454</v>
      </c>
      <c r="R64" s="3">
        <f t="shared" ca="1" si="17"/>
        <v>74095.658536585368</v>
      </c>
      <c r="S64">
        <f t="shared" ca="1" si="14"/>
        <v>82</v>
      </c>
      <c r="T64" s="2">
        <f t="shared" ca="1" si="18"/>
        <v>5451389.8854505001</v>
      </c>
      <c r="U64" s="17">
        <f t="shared" si="19"/>
        <v>2023</v>
      </c>
      <c r="V64" s="20" t="str">
        <f t="shared" si="15"/>
        <v>Nov-2023</v>
      </c>
    </row>
    <row r="65" spans="1:22" x14ac:dyDescent="0.3">
      <c r="A65" t="str">
        <f t="shared" si="16"/>
        <v>TX-00065</v>
      </c>
      <c r="B65" s="6">
        <v>44866</v>
      </c>
      <c r="C65" t="str">
        <f t="shared" ca="1" si="0"/>
        <v>House &amp; Lot</v>
      </c>
      <c r="D65" s="1" t="str">
        <f t="shared" ca="1" si="1"/>
        <v>Cavite</v>
      </c>
      <c r="E65" s="1">
        <f t="shared" ca="1" si="22"/>
        <v>2</v>
      </c>
      <c r="F65" s="1">
        <f t="shared" ca="1" si="22"/>
        <v>2</v>
      </c>
      <c r="G65">
        <f t="shared" ca="1" si="3"/>
        <v>76</v>
      </c>
      <c r="H65">
        <f t="shared" ca="1" si="4"/>
        <v>200</v>
      </c>
      <c r="I65">
        <f t="shared" ca="1" si="5"/>
        <v>2021</v>
      </c>
      <c r="J65" s="2">
        <f t="shared" ca="1" si="6"/>
        <v>5723985</v>
      </c>
      <c r="K65" s="4">
        <f t="shared" ca="1" si="7"/>
        <v>8071315</v>
      </c>
      <c r="L65" t="str">
        <f t="shared" ca="1" si="8"/>
        <v>Michelle Flores</v>
      </c>
      <c r="M65" t="str">
        <f t="shared" ca="1" si="9"/>
        <v>Corporation</v>
      </c>
      <c r="N65" t="str">
        <f t="shared" ca="1" si="10"/>
        <v>Cash</v>
      </c>
      <c r="O65" s="1">
        <f t="shared" ca="1" si="11"/>
        <v>245</v>
      </c>
      <c r="P65" s="2">
        <f t="shared" ca="1" si="12"/>
        <v>242139.44999999998</v>
      </c>
      <c r="Q65" s="2">
        <f t="shared" ca="1" si="13"/>
        <v>2347330</v>
      </c>
      <c r="R65" s="3">
        <f t="shared" ca="1" si="17"/>
        <v>40356.574999999997</v>
      </c>
      <c r="S65">
        <f t="shared" ca="1" si="14"/>
        <v>200</v>
      </c>
      <c r="T65" s="2">
        <f t="shared" ca="1" si="18"/>
        <v>5723984.5899133207</v>
      </c>
      <c r="U65" s="17">
        <f t="shared" si="19"/>
        <v>2022</v>
      </c>
      <c r="V65" s="20" t="str">
        <f t="shared" si="15"/>
        <v>Nov-2022</v>
      </c>
    </row>
    <row r="66" spans="1:22" x14ac:dyDescent="0.3">
      <c r="A66" t="str">
        <f t="shared" si="16"/>
        <v>TX-00066</v>
      </c>
      <c r="B66" s="6">
        <v>44139</v>
      </c>
      <c r="C66" t="str">
        <f t="shared" ref="C66:C129" ca="1" si="23">CHOOSE(RANDBETWEEN(1,4),"Condo","House &amp; Lot","Commercial","Land")</f>
        <v>Condo</v>
      </c>
      <c r="D66" s="1" t="str">
        <f t="shared" ref="D66:D129" ca="1" si="24">CHOOSE(RANDBETWEEN(1,4),"Laguna","Makati","Cavite","Bulacan")</f>
        <v>Bulacan</v>
      </c>
      <c r="E66" s="1">
        <f t="shared" ca="1" si="22"/>
        <v>4</v>
      </c>
      <c r="F66" s="1">
        <f t="shared" ca="1" si="22"/>
        <v>2</v>
      </c>
      <c r="G66">
        <f t="shared" ref="G66:G129" ca="1" si="25">RANDBETWEEN(40,200)</f>
        <v>52</v>
      </c>
      <c r="H66">
        <f t="shared" ref="H66:H129" ca="1" si="26">RANDBETWEEN(50,250)</f>
        <v>245</v>
      </c>
      <c r="I66">
        <f t="shared" ref="I66:I129" ca="1" si="27">RANDBETWEEN(2010,2023)</f>
        <v>2011</v>
      </c>
      <c r="J66" s="2">
        <f t="shared" ref="J66:J129" ca="1" si="28">RANDBETWEEN(2000000,15000000)</f>
        <v>10687945</v>
      </c>
      <c r="K66" s="4">
        <f t="shared" ref="K66:K129" ca="1" si="29">RANDBETWEEN(1500000,13000000)</f>
        <v>1980498</v>
      </c>
      <c r="L66" t="str">
        <f t="shared" ref="L66:L129" ca="1" si="30">CHOOSE(RANDBETWEEN(1,9),"John Dela Cruz", "Michael Santos", "Mark Reyes", "Daniel Cruz", "Mary Garcia","Anna Mendoza", "Michelle Flores", "Rachel Villanueva", "Joy Ramos")</f>
        <v>John Dela Cruz</v>
      </c>
      <c r="M66" t="str">
        <f t="shared" ref="M66:M129" ca="1" si="31">CHOOSE(RANDBETWEEN(1,4),"Individual", "Corporation", "OFW", "Investor")</f>
        <v>Individual</v>
      </c>
      <c r="N66" t="str">
        <f t="shared" ref="N66:N129" ca="1" si="32">CHOOSE(RANDBETWEEN(1,4),"Cash", "Bank Loan", "Pag-IBIG Loan", "Installment")</f>
        <v>Installment</v>
      </c>
      <c r="O66" s="1">
        <f t="shared" ref="O66:O129" ca="1" si="33">RANDBETWEEN(100,400)</f>
        <v>310</v>
      </c>
      <c r="P66" s="2">
        <f t="shared" ref="P66:P129" ca="1" si="34">SUM(K66*0.03)</f>
        <v>59414.939999999995</v>
      </c>
      <c r="Q66" s="2">
        <f t="shared" ref="Q66:Q129" ca="1" si="35">SUM(K66-J66)</f>
        <v>-8707447</v>
      </c>
      <c r="R66" s="3">
        <f t="shared" ref="R66:R129" ca="1" si="36">SUM(K66/S66)</f>
        <v>38086.5</v>
      </c>
      <c r="S66">
        <f t="shared" ref="S66:S129" ca="1" si="37">IF(C66="Condo", G66,H66)</f>
        <v>52</v>
      </c>
      <c r="T66" s="2">
        <f t="shared" ref="T66:T129" ca="1" si="38">SUM(J66-Q66/J66)</f>
        <v>10687945.81469796</v>
      </c>
      <c r="U66" s="17">
        <f t="shared" si="19"/>
        <v>2020</v>
      </c>
      <c r="V66" s="20" t="str">
        <f t="shared" ref="V66:V129" si="39">TEXT(B66,"mmm-yyyy")</f>
        <v>Nov-2020</v>
      </c>
    </row>
    <row r="67" spans="1:22" x14ac:dyDescent="0.3">
      <c r="A67" t="str">
        <f t="shared" ref="A67:A130" si="40">"TX-" &amp; TEXT(ROW(),"00000")</f>
        <v>TX-00067</v>
      </c>
      <c r="B67" s="6">
        <v>43889</v>
      </c>
      <c r="C67" t="str">
        <f t="shared" ca="1" si="23"/>
        <v>Land</v>
      </c>
      <c r="D67" s="1" t="str">
        <f t="shared" ca="1" si="24"/>
        <v>Cavite</v>
      </c>
      <c r="E67" s="1">
        <f t="shared" ca="1" si="22"/>
        <v>1</v>
      </c>
      <c r="F67" s="1">
        <f t="shared" ca="1" si="22"/>
        <v>2</v>
      </c>
      <c r="G67">
        <f t="shared" ca="1" si="25"/>
        <v>77</v>
      </c>
      <c r="H67">
        <f t="shared" ca="1" si="26"/>
        <v>56</v>
      </c>
      <c r="I67">
        <f t="shared" ca="1" si="27"/>
        <v>2012</v>
      </c>
      <c r="J67" s="2">
        <f t="shared" ca="1" si="28"/>
        <v>5778833</v>
      </c>
      <c r="K67" s="4">
        <f t="shared" ca="1" si="29"/>
        <v>11180118</v>
      </c>
      <c r="L67" t="str">
        <f t="shared" ca="1" si="30"/>
        <v>Mark Reyes</v>
      </c>
      <c r="M67" t="str">
        <f t="shared" ca="1" si="31"/>
        <v>Corporation</v>
      </c>
      <c r="N67" t="str">
        <f t="shared" ca="1" si="32"/>
        <v>Pag-IBIG Loan</v>
      </c>
      <c r="O67" s="1">
        <f t="shared" ca="1" si="33"/>
        <v>134</v>
      </c>
      <c r="P67" s="2">
        <f t="shared" ca="1" si="34"/>
        <v>335403.53999999998</v>
      </c>
      <c r="Q67" s="2">
        <f t="shared" ca="1" si="35"/>
        <v>5401285</v>
      </c>
      <c r="R67" s="3">
        <f t="shared" ca="1" si="36"/>
        <v>199644.96428571429</v>
      </c>
      <c r="S67">
        <f t="shared" ca="1" si="37"/>
        <v>56</v>
      </c>
      <c r="T67" s="2">
        <f t="shared" ca="1" si="38"/>
        <v>5778832.0653329138</v>
      </c>
      <c r="U67" s="17">
        <f t="shared" ref="U67:U130" si="41">YEAR(B67)</f>
        <v>2020</v>
      </c>
      <c r="V67" s="20" t="str">
        <f t="shared" si="39"/>
        <v>Feb-2020</v>
      </c>
    </row>
    <row r="68" spans="1:22" x14ac:dyDescent="0.3">
      <c r="A68" t="str">
        <f t="shared" si="40"/>
        <v>TX-00068</v>
      </c>
      <c r="B68" s="6">
        <v>44476</v>
      </c>
      <c r="C68" t="str">
        <f t="shared" ca="1" si="23"/>
        <v>Commercial</v>
      </c>
      <c r="D68" s="1" t="str">
        <f t="shared" ca="1" si="24"/>
        <v>Laguna</v>
      </c>
      <c r="E68" s="1">
        <f t="shared" ca="1" si="22"/>
        <v>4</v>
      </c>
      <c r="F68" s="1">
        <f t="shared" ca="1" si="22"/>
        <v>3</v>
      </c>
      <c r="G68">
        <f t="shared" ca="1" si="25"/>
        <v>85</v>
      </c>
      <c r="H68">
        <f t="shared" ca="1" si="26"/>
        <v>161</v>
      </c>
      <c r="I68">
        <f t="shared" ca="1" si="27"/>
        <v>2018</v>
      </c>
      <c r="J68" s="2">
        <f t="shared" ca="1" si="28"/>
        <v>10981039</v>
      </c>
      <c r="K68" s="4">
        <f t="shared" ca="1" si="29"/>
        <v>5258676</v>
      </c>
      <c r="L68" t="str">
        <f t="shared" ca="1" si="30"/>
        <v>Mary Garcia</v>
      </c>
      <c r="M68" t="str">
        <f t="shared" ca="1" si="31"/>
        <v>Corporation</v>
      </c>
      <c r="N68" t="str">
        <f t="shared" ca="1" si="32"/>
        <v>Cash</v>
      </c>
      <c r="O68" s="1">
        <f t="shared" ca="1" si="33"/>
        <v>340</v>
      </c>
      <c r="P68" s="2">
        <f t="shared" ca="1" si="34"/>
        <v>157760.28</v>
      </c>
      <c r="Q68" s="2">
        <f t="shared" ca="1" si="35"/>
        <v>-5722363</v>
      </c>
      <c r="R68" s="3">
        <f t="shared" ca="1" si="36"/>
        <v>32662.583850931678</v>
      </c>
      <c r="S68">
        <f t="shared" ca="1" si="37"/>
        <v>161</v>
      </c>
      <c r="T68" s="2">
        <f t="shared" ca="1" si="38"/>
        <v>10981039.521113075</v>
      </c>
      <c r="U68" s="17">
        <f t="shared" si="41"/>
        <v>2021</v>
      </c>
      <c r="V68" s="20" t="str">
        <f t="shared" si="39"/>
        <v>Oct-2021</v>
      </c>
    </row>
    <row r="69" spans="1:22" x14ac:dyDescent="0.3">
      <c r="A69" t="str">
        <f t="shared" si="40"/>
        <v>TX-00069</v>
      </c>
      <c r="B69" s="6">
        <v>45724</v>
      </c>
      <c r="C69" t="str">
        <f t="shared" ca="1" si="23"/>
        <v>Land</v>
      </c>
      <c r="D69" s="1" t="str">
        <f t="shared" ca="1" si="24"/>
        <v>Cavite</v>
      </c>
      <c r="E69" s="1">
        <f t="shared" ca="1" si="22"/>
        <v>4</v>
      </c>
      <c r="F69" s="1">
        <f t="shared" ca="1" si="22"/>
        <v>3</v>
      </c>
      <c r="G69">
        <f t="shared" ca="1" si="25"/>
        <v>101</v>
      </c>
      <c r="H69">
        <f t="shared" ca="1" si="26"/>
        <v>62</v>
      </c>
      <c r="I69">
        <f t="shared" ca="1" si="27"/>
        <v>2022</v>
      </c>
      <c r="J69" s="2">
        <f t="shared" ca="1" si="28"/>
        <v>6923099</v>
      </c>
      <c r="K69" s="4">
        <f t="shared" ca="1" si="29"/>
        <v>10343956</v>
      </c>
      <c r="L69" t="str">
        <f t="shared" ca="1" si="30"/>
        <v>Michael Santos</v>
      </c>
      <c r="M69" t="str">
        <f t="shared" ca="1" si="31"/>
        <v>Individual</v>
      </c>
      <c r="N69" t="str">
        <f t="shared" ca="1" si="32"/>
        <v>Bank Loan</v>
      </c>
      <c r="O69" s="1">
        <f t="shared" ca="1" si="33"/>
        <v>190</v>
      </c>
      <c r="P69" s="2">
        <f t="shared" ca="1" si="34"/>
        <v>310318.68</v>
      </c>
      <c r="Q69" s="2">
        <f t="shared" ca="1" si="35"/>
        <v>3420857</v>
      </c>
      <c r="R69" s="3">
        <f t="shared" ca="1" si="36"/>
        <v>166838</v>
      </c>
      <c r="S69">
        <f t="shared" ca="1" si="37"/>
        <v>62</v>
      </c>
      <c r="T69" s="2">
        <f t="shared" ca="1" si="38"/>
        <v>6923098.5058777872</v>
      </c>
      <c r="U69" s="17">
        <f t="shared" si="41"/>
        <v>2025</v>
      </c>
      <c r="V69" s="20" t="str">
        <f t="shared" si="39"/>
        <v>Mar-2025</v>
      </c>
    </row>
    <row r="70" spans="1:22" x14ac:dyDescent="0.3">
      <c r="A70" t="str">
        <f t="shared" si="40"/>
        <v>TX-00070</v>
      </c>
      <c r="B70" s="6">
        <v>46070</v>
      </c>
      <c r="C70" t="str">
        <f t="shared" ca="1" si="23"/>
        <v>Land</v>
      </c>
      <c r="D70" s="1" t="str">
        <f t="shared" ca="1" si="24"/>
        <v>Laguna</v>
      </c>
      <c r="E70" s="1">
        <f t="shared" ca="1" si="22"/>
        <v>1</v>
      </c>
      <c r="F70" s="1">
        <f t="shared" ca="1" si="22"/>
        <v>3</v>
      </c>
      <c r="G70">
        <f t="shared" ca="1" si="25"/>
        <v>118</v>
      </c>
      <c r="H70">
        <f t="shared" ca="1" si="26"/>
        <v>170</v>
      </c>
      <c r="I70">
        <f t="shared" ca="1" si="27"/>
        <v>2012</v>
      </c>
      <c r="J70" s="2">
        <f t="shared" ca="1" si="28"/>
        <v>14884919</v>
      </c>
      <c r="K70" s="4">
        <f t="shared" ca="1" si="29"/>
        <v>12930328</v>
      </c>
      <c r="L70" t="str">
        <f t="shared" ca="1" si="30"/>
        <v>Rachel Villanueva</v>
      </c>
      <c r="M70" t="str">
        <f t="shared" ca="1" si="31"/>
        <v>Corporation</v>
      </c>
      <c r="N70" t="str">
        <f t="shared" ca="1" si="32"/>
        <v>Bank Loan</v>
      </c>
      <c r="O70" s="1">
        <f t="shared" ca="1" si="33"/>
        <v>301</v>
      </c>
      <c r="P70" s="2">
        <f t="shared" ca="1" si="34"/>
        <v>387909.83999999997</v>
      </c>
      <c r="Q70" s="2">
        <f t="shared" ca="1" si="35"/>
        <v>-1954591</v>
      </c>
      <c r="R70" s="3">
        <f t="shared" ca="1" si="36"/>
        <v>76060.75294117647</v>
      </c>
      <c r="S70">
        <f t="shared" ca="1" si="37"/>
        <v>170</v>
      </c>
      <c r="T70" s="2">
        <f t="shared" ca="1" si="38"/>
        <v>14884919.131313512</v>
      </c>
      <c r="U70" s="17">
        <f t="shared" si="41"/>
        <v>2026</v>
      </c>
      <c r="V70" s="20" t="str">
        <f t="shared" si="39"/>
        <v>Feb-2026</v>
      </c>
    </row>
    <row r="71" spans="1:22" x14ac:dyDescent="0.3">
      <c r="A71" t="str">
        <f t="shared" si="40"/>
        <v>TX-00071</v>
      </c>
      <c r="B71" s="6">
        <v>44247</v>
      </c>
      <c r="C71" t="str">
        <f t="shared" ca="1" si="23"/>
        <v>House &amp; Lot</v>
      </c>
      <c r="D71" s="1" t="str">
        <f t="shared" ca="1" si="24"/>
        <v>Bulacan</v>
      </c>
      <c r="E71" s="1">
        <f t="shared" ca="1" si="22"/>
        <v>2</v>
      </c>
      <c r="F71" s="1">
        <f t="shared" ca="1" si="22"/>
        <v>3</v>
      </c>
      <c r="G71">
        <f t="shared" ca="1" si="25"/>
        <v>157</v>
      </c>
      <c r="H71">
        <f t="shared" ca="1" si="26"/>
        <v>91</v>
      </c>
      <c r="I71">
        <f t="shared" ca="1" si="27"/>
        <v>2012</v>
      </c>
      <c r="J71" s="2">
        <f t="shared" ca="1" si="28"/>
        <v>4366668</v>
      </c>
      <c r="K71" s="4">
        <f t="shared" ca="1" si="29"/>
        <v>10255482</v>
      </c>
      <c r="L71" t="str">
        <f t="shared" ca="1" si="30"/>
        <v>Rachel Villanueva</v>
      </c>
      <c r="M71" t="str">
        <f t="shared" ca="1" si="31"/>
        <v>OFW</v>
      </c>
      <c r="N71" t="str">
        <f t="shared" ca="1" si="32"/>
        <v>Installment</v>
      </c>
      <c r="O71" s="1">
        <f t="shared" ca="1" si="33"/>
        <v>137</v>
      </c>
      <c r="P71" s="2">
        <f t="shared" ca="1" si="34"/>
        <v>307664.45999999996</v>
      </c>
      <c r="Q71" s="2">
        <f t="shared" ca="1" si="35"/>
        <v>5888814</v>
      </c>
      <c r="R71" s="3">
        <f t="shared" ca="1" si="36"/>
        <v>112697.6043956044</v>
      </c>
      <c r="S71">
        <f t="shared" ca="1" si="37"/>
        <v>91</v>
      </c>
      <c r="T71" s="2">
        <f t="shared" ca="1" si="38"/>
        <v>4366666.6514170533</v>
      </c>
      <c r="U71" s="17">
        <f t="shared" si="41"/>
        <v>2021</v>
      </c>
      <c r="V71" s="20" t="str">
        <f t="shared" si="39"/>
        <v>Feb-2021</v>
      </c>
    </row>
    <row r="72" spans="1:22" x14ac:dyDescent="0.3">
      <c r="A72" t="str">
        <f t="shared" si="40"/>
        <v>TX-00072</v>
      </c>
      <c r="B72" s="6">
        <v>44211</v>
      </c>
      <c r="C72" t="str">
        <f t="shared" ca="1" si="23"/>
        <v>Commercial</v>
      </c>
      <c r="D72" s="1" t="str">
        <f t="shared" ca="1" si="24"/>
        <v>Makati</v>
      </c>
      <c r="E72" s="1">
        <f t="shared" ca="1" si="22"/>
        <v>1</v>
      </c>
      <c r="F72" s="1">
        <f t="shared" ca="1" si="22"/>
        <v>3</v>
      </c>
      <c r="G72">
        <f t="shared" ca="1" si="25"/>
        <v>136</v>
      </c>
      <c r="H72">
        <f t="shared" ca="1" si="26"/>
        <v>195</v>
      </c>
      <c r="I72">
        <f t="shared" ca="1" si="27"/>
        <v>2017</v>
      </c>
      <c r="J72" s="2">
        <f t="shared" ca="1" si="28"/>
        <v>13568301</v>
      </c>
      <c r="K72" s="4">
        <f t="shared" ca="1" si="29"/>
        <v>1753022</v>
      </c>
      <c r="L72" t="str">
        <f t="shared" ca="1" si="30"/>
        <v>Michelle Flores</v>
      </c>
      <c r="M72" t="str">
        <f t="shared" ca="1" si="31"/>
        <v>Individual</v>
      </c>
      <c r="N72" t="str">
        <f t="shared" ca="1" si="32"/>
        <v>Pag-IBIG Loan</v>
      </c>
      <c r="O72" s="1">
        <f t="shared" ca="1" si="33"/>
        <v>223</v>
      </c>
      <c r="P72" s="2">
        <f t="shared" ca="1" si="34"/>
        <v>52590.659999999996</v>
      </c>
      <c r="Q72" s="2">
        <f t="shared" ca="1" si="35"/>
        <v>-11815279</v>
      </c>
      <c r="R72" s="3">
        <f t="shared" ca="1" si="36"/>
        <v>8989.8564102564105</v>
      </c>
      <c r="S72">
        <f t="shared" ca="1" si="37"/>
        <v>195</v>
      </c>
      <c r="T72" s="2">
        <f t="shared" ca="1" si="38"/>
        <v>13568301.870800184</v>
      </c>
      <c r="U72" s="17">
        <f t="shared" si="41"/>
        <v>2021</v>
      </c>
      <c r="V72" s="20" t="str">
        <f t="shared" si="39"/>
        <v>Jan-2021</v>
      </c>
    </row>
    <row r="73" spans="1:22" x14ac:dyDescent="0.3">
      <c r="A73" t="str">
        <f t="shared" si="40"/>
        <v>TX-00073</v>
      </c>
      <c r="B73" s="6">
        <v>44655</v>
      </c>
      <c r="C73" t="str">
        <f t="shared" ca="1" si="23"/>
        <v>Land</v>
      </c>
      <c r="D73" s="1" t="str">
        <f t="shared" ca="1" si="24"/>
        <v>Laguna</v>
      </c>
      <c r="E73" s="1">
        <f t="shared" ca="1" si="22"/>
        <v>3</v>
      </c>
      <c r="F73" s="1">
        <f t="shared" ca="1" si="22"/>
        <v>2</v>
      </c>
      <c r="G73">
        <f t="shared" ca="1" si="25"/>
        <v>100</v>
      </c>
      <c r="H73">
        <f t="shared" ca="1" si="26"/>
        <v>153</v>
      </c>
      <c r="I73">
        <f t="shared" ca="1" si="27"/>
        <v>2019</v>
      </c>
      <c r="J73" s="2">
        <f t="shared" ca="1" si="28"/>
        <v>12587350</v>
      </c>
      <c r="K73" s="4">
        <f t="shared" ca="1" si="29"/>
        <v>4074081</v>
      </c>
      <c r="L73" t="str">
        <f t="shared" ca="1" si="30"/>
        <v>Michael Santos</v>
      </c>
      <c r="M73" t="str">
        <f t="shared" ca="1" si="31"/>
        <v>Investor</v>
      </c>
      <c r="N73" t="str">
        <f t="shared" ca="1" si="32"/>
        <v>Pag-IBIG Loan</v>
      </c>
      <c r="O73" s="1">
        <f t="shared" ca="1" si="33"/>
        <v>378</v>
      </c>
      <c r="P73" s="2">
        <f t="shared" ca="1" si="34"/>
        <v>122222.43</v>
      </c>
      <c r="Q73" s="2">
        <f t="shared" ca="1" si="35"/>
        <v>-8513269</v>
      </c>
      <c r="R73" s="3">
        <f t="shared" ca="1" si="36"/>
        <v>26627.980392156864</v>
      </c>
      <c r="S73">
        <f t="shared" ca="1" si="37"/>
        <v>153</v>
      </c>
      <c r="T73" s="2">
        <f t="shared" ca="1" si="38"/>
        <v>12587350.676335288</v>
      </c>
      <c r="U73" s="17">
        <f t="shared" si="41"/>
        <v>2022</v>
      </c>
      <c r="V73" s="20" t="str">
        <f t="shared" si="39"/>
        <v>Apr-2022</v>
      </c>
    </row>
    <row r="74" spans="1:22" x14ac:dyDescent="0.3">
      <c r="A74" t="str">
        <f t="shared" si="40"/>
        <v>TX-00074</v>
      </c>
      <c r="B74" s="6">
        <v>43650</v>
      </c>
      <c r="C74" t="str">
        <f t="shared" ca="1" si="23"/>
        <v>Condo</v>
      </c>
      <c r="D74" s="1" t="str">
        <f t="shared" ca="1" si="24"/>
        <v>Bulacan</v>
      </c>
      <c r="E74" s="1">
        <f t="shared" ca="1" si="22"/>
        <v>3</v>
      </c>
      <c r="F74" s="1">
        <f t="shared" ca="1" si="22"/>
        <v>4</v>
      </c>
      <c r="G74">
        <f t="shared" ca="1" si="25"/>
        <v>40</v>
      </c>
      <c r="H74">
        <f t="shared" ca="1" si="26"/>
        <v>86</v>
      </c>
      <c r="I74">
        <f t="shared" ca="1" si="27"/>
        <v>2021</v>
      </c>
      <c r="J74" s="2">
        <f t="shared" ca="1" si="28"/>
        <v>10088193</v>
      </c>
      <c r="K74" s="4">
        <f t="shared" ca="1" si="29"/>
        <v>2571779</v>
      </c>
      <c r="L74" t="str">
        <f t="shared" ca="1" si="30"/>
        <v>Rachel Villanueva</v>
      </c>
      <c r="M74" t="str">
        <f t="shared" ca="1" si="31"/>
        <v>Investor</v>
      </c>
      <c r="N74" t="str">
        <f t="shared" ca="1" si="32"/>
        <v>Pag-IBIG Loan</v>
      </c>
      <c r="O74" s="1">
        <f t="shared" ca="1" si="33"/>
        <v>309</v>
      </c>
      <c r="P74" s="2">
        <f t="shared" ca="1" si="34"/>
        <v>77153.37</v>
      </c>
      <c r="Q74" s="2">
        <f t="shared" ca="1" si="35"/>
        <v>-7516414</v>
      </c>
      <c r="R74" s="3">
        <f t="shared" ca="1" si="36"/>
        <v>64294.474999999999</v>
      </c>
      <c r="S74">
        <f t="shared" ca="1" si="37"/>
        <v>40</v>
      </c>
      <c r="T74" s="2">
        <f t="shared" ca="1" si="38"/>
        <v>10088193.7450704</v>
      </c>
      <c r="U74" s="17">
        <f t="shared" si="41"/>
        <v>2019</v>
      </c>
      <c r="V74" s="20" t="str">
        <f t="shared" si="39"/>
        <v>Jul-2019</v>
      </c>
    </row>
    <row r="75" spans="1:22" x14ac:dyDescent="0.3">
      <c r="A75" t="str">
        <f t="shared" si="40"/>
        <v>TX-00075</v>
      </c>
      <c r="B75" s="6">
        <v>43310</v>
      </c>
      <c r="C75" t="str">
        <f t="shared" ca="1" si="23"/>
        <v>Land</v>
      </c>
      <c r="D75" s="1" t="str">
        <f t="shared" ca="1" si="24"/>
        <v>Cavite</v>
      </c>
      <c r="E75" s="1">
        <f t="shared" ca="1" si="22"/>
        <v>4</v>
      </c>
      <c r="F75" s="1">
        <f t="shared" ca="1" si="22"/>
        <v>4</v>
      </c>
      <c r="G75">
        <f t="shared" ca="1" si="25"/>
        <v>52</v>
      </c>
      <c r="H75">
        <f t="shared" ca="1" si="26"/>
        <v>93</v>
      </c>
      <c r="I75">
        <f t="shared" ca="1" si="27"/>
        <v>2017</v>
      </c>
      <c r="J75" s="2">
        <f t="shared" ca="1" si="28"/>
        <v>5779892</v>
      </c>
      <c r="K75" s="4">
        <f t="shared" ca="1" si="29"/>
        <v>9751594</v>
      </c>
      <c r="L75" t="str">
        <f t="shared" ca="1" si="30"/>
        <v>Daniel Cruz</v>
      </c>
      <c r="M75" t="str">
        <f t="shared" ca="1" si="31"/>
        <v>Investor</v>
      </c>
      <c r="N75" t="str">
        <f t="shared" ca="1" si="32"/>
        <v>Cash</v>
      </c>
      <c r="O75" s="1">
        <f t="shared" ca="1" si="33"/>
        <v>169</v>
      </c>
      <c r="P75" s="2">
        <f t="shared" ca="1" si="34"/>
        <v>292547.82</v>
      </c>
      <c r="Q75" s="2">
        <f t="shared" ca="1" si="35"/>
        <v>3971702</v>
      </c>
      <c r="R75" s="3">
        <f t="shared" ca="1" si="36"/>
        <v>104855.84946236559</v>
      </c>
      <c r="S75">
        <f t="shared" ca="1" si="37"/>
        <v>93</v>
      </c>
      <c r="T75" s="2">
        <f t="shared" ca="1" si="38"/>
        <v>5779891.3128414853</v>
      </c>
      <c r="U75" s="17">
        <f t="shared" si="41"/>
        <v>2018</v>
      </c>
      <c r="V75" s="20" t="str">
        <f t="shared" si="39"/>
        <v>Jul-2018</v>
      </c>
    </row>
    <row r="76" spans="1:22" x14ac:dyDescent="0.3">
      <c r="A76" t="str">
        <f t="shared" si="40"/>
        <v>TX-00076</v>
      </c>
      <c r="B76" s="6">
        <v>45406</v>
      </c>
      <c r="C76" t="str">
        <f t="shared" ca="1" si="23"/>
        <v>Land</v>
      </c>
      <c r="D76" s="1" t="str">
        <f t="shared" ca="1" si="24"/>
        <v>Makati</v>
      </c>
      <c r="E76" s="1">
        <f t="shared" ca="1" si="22"/>
        <v>4</v>
      </c>
      <c r="F76" s="1">
        <f t="shared" ca="1" si="22"/>
        <v>3</v>
      </c>
      <c r="G76">
        <f t="shared" ca="1" si="25"/>
        <v>158</v>
      </c>
      <c r="H76">
        <f t="shared" ca="1" si="26"/>
        <v>229</v>
      </c>
      <c r="I76">
        <f t="shared" ca="1" si="27"/>
        <v>2021</v>
      </c>
      <c r="J76" s="2">
        <f t="shared" ca="1" si="28"/>
        <v>11164731</v>
      </c>
      <c r="K76" s="4">
        <f t="shared" ca="1" si="29"/>
        <v>2982690</v>
      </c>
      <c r="L76" t="str">
        <f t="shared" ca="1" si="30"/>
        <v>Mary Garcia</v>
      </c>
      <c r="M76" t="str">
        <f t="shared" ca="1" si="31"/>
        <v>OFW</v>
      </c>
      <c r="N76" t="str">
        <f t="shared" ca="1" si="32"/>
        <v>Bank Loan</v>
      </c>
      <c r="O76" s="1">
        <f t="shared" ca="1" si="33"/>
        <v>365</v>
      </c>
      <c r="P76" s="2">
        <f t="shared" ca="1" si="34"/>
        <v>89480.7</v>
      </c>
      <c r="Q76" s="2">
        <f t="shared" ca="1" si="35"/>
        <v>-8182041</v>
      </c>
      <c r="R76" s="3">
        <f t="shared" ca="1" si="36"/>
        <v>13024.847161572052</v>
      </c>
      <c r="S76">
        <f t="shared" ca="1" si="37"/>
        <v>229</v>
      </c>
      <c r="T76" s="2">
        <f t="shared" ca="1" si="38"/>
        <v>11164731.732847124</v>
      </c>
      <c r="U76" s="17">
        <f t="shared" si="41"/>
        <v>2024</v>
      </c>
      <c r="V76" s="20" t="str">
        <f t="shared" si="39"/>
        <v>Apr-2024</v>
      </c>
    </row>
    <row r="77" spans="1:22" x14ac:dyDescent="0.3">
      <c r="A77" t="str">
        <f t="shared" si="40"/>
        <v>TX-00077</v>
      </c>
      <c r="B77" s="6">
        <v>43117</v>
      </c>
      <c r="C77" t="str">
        <f t="shared" ca="1" si="23"/>
        <v>Condo</v>
      </c>
      <c r="D77" s="1" t="str">
        <f t="shared" ca="1" si="24"/>
        <v>Laguna</v>
      </c>
      <c r="E77" s="1">
        <f t="shared" ca="1" si="22"/>
        <v>2</v>
      </c>
      <c r="F77" s="1">
        <f t="shared" ca="1" si="22"/>
        <v>1</v>
      </c>
      <c r="G77">
        <f t="shared" ca="1" si="25"/>
        <v>166</v>
      </c>
      <c r="H77">
        <f t="shared" ca="1" si="26"/>
        <v>200</v>
      </c>
      <c r="I77">
        <f t="shared" ca="1" si="27"/>
        <v>2021</v>
      </c>
      <c r="J77" s="2">
        <f t="shared" ca="1" si="28"/>
        <v>10411394</v>
      </c>
      <c r="K77" s="4">
        <f t="shared" ca="1" si="29"/>
        <v>10864605</v>
      </c>
      <c r="L77" t="str">
        <f t="shared" ca="1" si="30"/>
        <v>John Dela Cruz</v>
      </c>
      <c r="M77" t="str">
        <f t="shared" ca="1" si="31"/>
        <v>OFW</v>
      </c>
      <c r="N77" t="str">
        <f t="shared" ca="1" si="32"/>
        <v>Pag-IBIG Loan</v>
      </c>
      <c r="O77" s="1">
        <f t="shared" ca="1" si="33"/>
        <v>320</v>
      </c>
      <c r="P77" s="2">
        <f t="shared" ca="1" si="34"/>
        <v>325938.14999999997</v>
      </c>
      <c r="Q77" s="2">
        <f t="shared" ca="1" si="35"/>
        <v>453211</v>
      </c>
      <c r="R77" s="3">
        <f t="shared" ca="1" si="36"/>
        <v>65449.427710843374</v>
      </c>
      <c r="S77">
        <f t="shared" ca="1" si="37"/>
        <v>166</v>
      </c>
      <c r="T77" s="2">
        <f t="shared" ca="1" si="38"/>
        <v>10411393.956469711</v>
      </c>
      <c r="U77" s="17">
        <f t="shared" si="41"/>
        <v>2018</v>
      </c>
      <c r="V77" s="20" t="str">
        <f t="shared" si="39"/>
        <v>Jan-2018</v>
      </c>
    </row>
    <row r="78" spans="1:22" x14ac:dyDescent="0.3">
      <c r="A78" t="str">
        <f t="shared" si="40"/>
        <v>TX-00078</v>
      </c>
      <c r="B78" s="6">
        <v>43473</v>
      </c>
      <c r="C78" t="str">
        <f t="shared" ca="1" si="23"/>
        <v>Commercial</v>
      </c>
      <c r="D78" s="1" t="str">
        <f t="shared" ca="1" si="24"/>
        <v>Makati</v>
      </c>
      <c r="E78" s="1">
        <f t="shared" ca="1" si="22"/>
        <v>2</v>
      </c>
      <c r="F78" s="1">
        <f t="shared" ca="1" si="22"/>
        <v>3</v>
      </c>
      <c r="G78">
        <f t="shared" ca="1" si="25"/>
        <v>193</v>
      </c>
      <c r="H78">
        <f t="shared" ca="1" si="26"/>
        <v>193</v>
      </c>
      <c r="I78">
        <f t="shared" ca="1" si="27"/>
        <v>2016</v>
      </c>
      <c r="J78" s="2">
        <f t="shared" ca="1" si="28"/>
        <v>7895666</v>
      </c>
      <c r="K78" s="4">
        <f t="shared" ca="1" si="29"/>
        <v>3090525</v>
      </c>
      <c r="L78" t="str">
        <f t="shared" ca="1" si="30"/>
        <v>Mary Garcia</v>
      </c>
      <c r="M78" t="str">
        <f t="shared" ca="1" si="31"/>
        <v>OFW</v>
      </c>
      <c r="N78" t="str">
        <f t="shared" ca="1" si="32"/>
        <v>Installment</v>
      </c>
      <c r="O78" s="1">
        <f t="shared" ca="1" si="33"/>
        <v>236</v>
      </c>
      <c r="P78" s="2">
        <f t="shared" ca="1" si="34"/>
        <v>92715.75</v>
      </c>
      <c r="Q78" s="2">
        <f t="shared" ca="1" si="35"/>
        <v>-4805141</v>
      </c>
      <c r="R78" s="3">
        <f t="shared" ca="1" si="36"/>
        <v>16013.082901554404</v>
      </c>
      <c r="S78">
        <f t="shared" ca="1" si="37"/>
        <v>193</v>
      </c>
      <c r="T78" s="2">
        <f t="shared" ca="1" si="38"/>
        <v>7895666.6085795676</v>
      </c>
      <c r="U78" s="17">
        <f t="shared" si="41"/>
        <v>2019</v>
      </c>
      <c r="V78" s="20" t="str">
        <f t="shared" si="39"/>
        <v>Jan-2019</v>
      </c>
    </row>
    <row r="79" spans="1:22" x14ac:dyDescent="0.3">
      <c r="A79" t="str">
        <f t="shared" si="40"/>
        <v>TX-00079</v>
      </c>
      <c r="B79" s="6">
        <v>45403</v>
      </c>
      <c r="C79" t="str">
        <f t="shared" ca="1" si="23"/>
        <v>Land</v>
      </c>
      <c r="D79" s="1" t="str">
        <f t="shared" ca="1" si="24"/>
        <v>Cavite</v>
      </c>
      <c r="E79" s="1">
        <f t="shared" ca="1" si="22"/>
        <v>1</v>
      </c>
      <c r="F79" s="1">
        <f t="shared" ca="1" si="22"/>
        <v>1</v>
      </c>
      <c r="G79">
        <f t="shared" ca="1" si="25"/>
        <v>151</v>
      </c>
      <c r="H79">
        <f t="shared" ca="1" si="26"/>
        <v>221</v>
      </c>
      <c r="I79">
        <f t="shared" ca="1" si="27"/>
        <v>2012</v>
      </c>
      <c r="J79" s="2">
        <f t="shared" ca="1" si="28"/>
        <v>2689937</v>
      </c>
      <c r="K79" s="4">
        <f t="shared" ca="1" si="29"/>
        <v>8883199</v>
      </c>
      <c r="L79" t="str">
        <f t="shared" ca="1" si="30"/>
        <v>John Dela Cruz</v>
      </c>
      <c r="M79" t="str">
        <f t="shared" ca="1" si="31"/>
        <v>OFW</v>
      </c>
      <c r="N79" t="str">
        <f t="shared" ca="1" si="32"/>
        <v>Cash</v>
      </c>
      <c r="O79" s="1">
        <f t="shared" ca="1" si="33"/>
        <v>291</v>
      </c>
      <c r="P79" s="2">
        <f t="shared" ca="1" si="34"/>
        <v>266495.96999999997</v>
      </c>
      <c r="Q79" s="2">
        <f t="shared" ca="1" si="35"/>
        <v>6193262</v>
      </c>
      <c r="R79" s="3">
        <f t="shared" ca="1" si="36"/>
        <v>40195.470588235294</v>
      </c>
      <c r="S79">
        <f t="shared" ca="1" si="37"/>
        <v>221</v>
      </c>
      <c r="T79" s="2">
        <f t="shared" ca="1" si="38"/>
        <v>2689934.6976181972</v>
      </c>
      <c r="U79" s="17">
        <f t="shared" si="41"/>
        <v>2024</v>
      </c>
      <c r="V79" s="20" t="str">
        <f t="shared" si="39"/>
        <v>Apr-2024</v>
      </c>
    </row>
    <row r="80" spans="1:22" x14ac:dyDescent="0.3">
      <c r="A80" t="str">
        <f t="shared" si="40"/>
        <v>TX-00080</v>
      </c>
      <c r="B80" s="6">
        <v>45685</v>
      </c>
      <c r="C80" t="str">
        <f t="shared" ca="1" si="23"/>
        <v>Land</v>
      </c>
      <c r="D80" s="1" t="str">
        <f t="shared" ca="1" si="24"/>
        <v>Makati</v>
      </c>
      <c r="E80" s="1">
        <f t="shared" ca="1" si="22"/>
        <v>2</v>
      </c>
      <c r="F80" s="1">
        <f t="shared" ca="1" si="22"/>
        <v>1</v>
      </c>
      <c r="G80">
        <f t="shared" ca="1" si="25"/>
        <v>123</v>
      </c>
      <c r="H80">
        <f t="shared" ca="1" si="26"/>
        <v>142</v>
      </c>
      <c r="I80">
        <f t="shared" ca="1" si="27"/>
        <v>2017</v>
      </c>
      <c r="J80" s="2">
        <f t="shared" ca="1" si="28"/>
        <v>4124760</v>
      </c>
      <c r="K80" s="4">
        <f t="shared" ca="1" si="29"/>
        <v>6005037</v>
      </c>
      <c r="L80" t="str">
        <f t="shared" ca="1" si="30"/>
        <v>Michael Santos</v>
      </c>
      <c r="M80" t="str">
        <f t="shared" ca="1" si="31"/>
        <v>Individual</v>
      </c>
      <c r="N80" t="str">
        <f t="shared" ca="1" si="32"/>
        <v>Cash</v>
      </c>
      <c r="O80" s="1">
        <f t="shared" ca="1" si="33"/>
        <v>244</v>
      </c>
      <c r="P80" s="2">
        <f t="shared" ca="1" si="34"/>
        <v>180151.11</v>
      </c>
      <c r="Q80" s="2">
        <f t="shared" ca="1" si="35"/>
        <v>1880277</v>
      </c>
      <c r="R80" s="3">
        <f t="shared" ca="1" si="36"/>
        <v>42288.992957746479</v>
      </c>
      <c r="S80">
        <f t="shared" ca="1" si="37"/>
        <v>142</v>
      </c>
      <c r="T80" s="2">
        <f t="shared" ca="1" si="38"/>
        <v>4124759.5441487506</v>
      </c>
      <c r="U80" s="17">
        <f t="shared" si="41"/>
        <v>2025</v>
      </c>
      <c r="V80" s="20" t="str">
        <f t="shared" si="39"/>
        <v>Jan-2025</v>
      </c>
    </row>
    <row r="81" spans="1:22" x14ac:dyDescent="0.3">
      <c r="A81" t="str">
        <f t="shared" si="40"/>
        <v>TX-00081</v>
      </c>
      <c r="B81" s="6">
        <v>44500</v>
      </c>
      <c r="C81" t="str">
        <f t="shared" ca="1" si="23"/>
        <v>Land</v>
      </c>
      <c r="D81" s="1" t="str">
        <f t="shared" ca="1" si="24"/>
        <v>Bulacan</v>
      </c>
      <c r="E81" s="1">
        <f t="shared" ca="1" si="22"/>
        <v>3</v>
      </c>
      <c r="F81" s="1">
        <f t="shared" ca="1" si="22"/>
        <v>3</v>
      </c>
      <c r="G81">
        <f t="shared" ca="1" si="25"/>
        <v>131</v>
      </c>
      <c r="H81">
        <f t="shared" ca="1" si="26"/>
        <v>245</v>
      </c>
      <c r="I81">
        <f t="shared" ca="1" si="27"/>
        <v>2017</v>
      </c>
      <c r="J81" s="2">
        <f t="shared" ca="1" si="28"/>
        <v>5198859</v>
      </c>
      <c r="K81" s="4">
        <f t="shared" ca="1" si="29"/>
        <v>9568849</v>
      </c>
      <c r="L81" t="str">
        <f t="shared" ca="1" si="30"/>
        <v>Mary Garcia</v>
      </c>
      <c r="M81" t="str">
        <f t="shared" ca="1" si="31"/>
        <v>Investor</v>
      </c>
      <c r="N81" t="str">
        <f t="shared" ca="1" si="32"/>
        <v>Cash</v>
      </c>
      <c r="O81" s="1">
        <f t="shared" ca="1" si="33"/>
        <v>177</v>
      </c>
      <c r="P81" s="2">
        <f t="shared" ca="1" si="34"/>
        <v>287065.46999999997</v>
      </c>
      <c r="Q81" s="2">
        <f t="shared" ca="1" si="35"/>
        <v>4369990</v>
      </c>
      <c r="R81" s="3">
        <f t="shared" ca="1" si="36"/>
        <v>39056.526530612246</v>
      </c>
      <c r="S81">
        <f t="shared" ca="1" si="37"/>
        <v>245</v>
      </c>
      <c r="T81" s="2">
        <f t="shared" ca="1" si="38"/>
        <v>5198858.1594328675</v>
      </c>
      <c r="U81" s="17">
        <f t="shared" si="41"/>
        <v>2021</v>
      </c>
      <c r="V81" s="20" t="str">
        <f t="shared" si="39"/>
        <v>Oct-2021</v>
      </c>
    </row>
    <row r="82" spans="1:22" x14ac:dyDescent="0.3">
      <c r="A82" t="str">
        <f t="shared" si="40"/>
        <v>TX-00082</v>
      </c>
      <c r="B82" s="6">
        <v>45128</v>
      </c>
      <c r="C82" t="str">
        <f t="shared" ca="1" si="23"/>
        <v>House &amp; Lot</v>
      </c>
      <c r="D82" s="1" t="str">
        <f t="shared" ca="1" si="24"/>
        <v>Bulacan</v>
      </c>
      <c r="E82" s="1">
        <f t="shared" ref="E82:F101" ca="1" si="42">RANDBETWEEN(1,4)</f>
        <v>1</v>
      </c>
      <c r="F82" s="1">
        <f t="shared" ca="1" si="42"/>
        <v>2</v>
      </c>
      <c r="G82">
        <f t="shared" ca="1" si="25"/>
        <v>136</v>
      </c>
      <c r="H82">
        <f t="shared" ca="1" si="26"/>
        <v>128</v>
      </c>
      <c r="I82">
        <f t="shared" ca="1" si="27"/>
        <v>2010</v>
      </c>
      <c r="J82" s="2">
        <f t="shared" ca="1" si="28"/>
        <v>12280765</v>
      </c>
      <c r="K82" s="4">
        <f t="shared" ca="1" si="29"/>
        <v>5295368</v>
      </c>
      <c r="L82" t="str">
        <f t="shared" ca="1" si="30"/>
        <v>Michael Santos</v>
      </c>
      <c r="M82" t="str">
        <f t="shared" ca="1" si="31"/>
        <v>Corporation</v>
      </c>
      <c r="N82" t="str">
        <f t="shared" ca="1" si="32"/>
        <v>Bank Loan</v>
      </c>
      <c r="O82" s="1">
        <f t="shared" ca="1" si="33"/>
        <v>287</v>
      </c>
      <c r="P82" s="2">
        <f t="shared" ca="1" si="34"/>
        <v>158861.04</v>
      </c>
      <c r="Q82" s="2">
        <f t="shared" ca="1" si="35"/>
        <v>-6985397</v>
      </c>
      <c r="R82" s="3">
        <f t="shared" ca="1" si="36"/>
        <v>41370.0625</v>
      </c>
      <c r="S82">
        <f t="shared" ca="1" si="37"/>
        <v>128</v>
      </c>
      <c r="T82" s="2">
        <f t="shared" ca="1" si="38"/>
        <v>12280765.568807969</v>
      </c>
      <c r="U82" s="17">
        <f t="shared" si="41"/>
        <v>2023</v>
      </c>
      <c r="V82" s="20" t="str">
        <f t="shared" si="39"/>
        <v>Jul-2023</v>
      </c>
    </row>
    <row r="83" spans="1:22" x14ac:dyDescent="0.3">
      <c r="A83" t="str">
        <f t="shared" si="40"/>
        <v>TX-00083</v>
      </c>
      <c r="B83" s="6">
        <v>44769</v>
      </c>
      <c r="C83" t="str">
        <f t="shared" ca="1" si="23"/>
        <v>Commercial</v>
      </c>
      <c r="D83" s="1" t="str">
        <f t="shared" ca="1" si="24"/>
        <v>Makati</v>
      </c>
      <c r="E83" s="1">
        <f t="shared" ca="1" si="42"/>
        <v>1</v>
      </c>
      <c r="F83" s="1">
        <f t="shared" ca="1" si="42"/>
        <v>4</v>
      </c>
      <c r="G83">
        <f t="shared" ca="1" si="25"/>
        <v>89</v>
      </c>
      <c r="H83">
        <f t="shared" ca="1" si="26"/>
        <v>129</v>
      </c>
      <c r="I83">
        <f t="shared" ca="1" si="27"/>
        <v>2018</v>
      </c>
      <c r="J83" s="2">
        <f t="shared" ca="1" si="28"/>
        <v>9982090</v>
      </c>
      <c r="K83" s="4">
        <f t="shared" ca="1" si="29"/>
        <v>9239960</v>
      </c>
      <c r="L83" t="str">
        <f t="shared" ca="1" si="30"/>
        <v>Anna Mendoza</v>
      </c>
      <c r="M83" t="str">
        <f t="shared" ca="1" si="31"/>
        <v>Investor</v>
      </c>
      <c r="N83" t="str">
        <f t="shared" ca="1" si="32"/>
        <v>Bank Loan</v>
      </c>
      <c r="O83" s="1">
        <f t="shared" ca="1" si="33"/>
        <v>322</v>
      </c>
      <c r="P83" s="2">
        <f t="shared" ca="1" si="34"/>
        <v>277198.8</v>
      </c>
      <c r="Q83" s="2">
        <f t="shared" ca="1" si="35"/>
        <v>-742130</v>
      </c>
      <c r="R83" s="3">
        <f t="shared" ca="1" si="36"/>
        <v>71627.596899224809</v>
      </c>
      <c r="S83">
        <f t="shared" ca="1" si="37"/>
        <v>129</v>
      </c>
      <c r="T83" s="2">
        <f t="shared" ca="1" si="38"/>
        <v>9982090.0743461531</v>
      </c>
      <c r="U83" s="17">
        <f t="shared" si="41"/>
        <v>2022</v>
      </c>
      <c r="V83" s="20" t="str">
        <f t="shared" si="39"/>
        <v>Jul-2022</v>
      </c>
    </row>
    <row r="84" spans="1:22" x14ac:dyDescent="0.3">
      <c r="A84" t="str">
        <f t="shared" si="40"/>
        <v>TX-00084</v>
      </c>
      <c r="B84" s="6">
        <v>44203</v>
      </c>
      <c r="C84" t="str">
        <f t="shared" ca="1" si="23"/>
        <v>Land</v>
      </c>
      <c r="D84" s="1" t="str">
        <f t="shared" ca="1" si="24"/>
        <v>Makati</v>
      </c>
      <c r="E84" s="1">
        <f t="shared" ca="1" si="42"/>
        <v>2</v>
      </c>
      <c r="F84" s="1">
        <f t="shared" ca="1" si="42"/>
        <v>4</v>
      </c>
      <c r="G84">
        <f t="shared" ca="1" si="25"/>
        <v>153</v>
      </c>
      <c r="H84">
        <f t="shared" ca="1" si="26"/>
        <v>63</v>
      </c>
      <c r="I84">
        <f t="shared" ca="1" si="27"/>
        <v>2022</v>
      </c>
      <c r="J84" s="2">
        <f t="shared" ca="1" si="28"/>
        <v>4340703</v>
      </c>
      <c r="K84" s="4">
        <f t="shared" ca="1" si="29"/>
        <v>9899429</v>
      </c>
      <c r="L84" t="str">
        <f t="shared" ca="1" si="30"/>
        <v>Michael Santos</v>
      </c>
      <c r="M84" t="str">
        <f t="shared" ca="1" si="31"/>
        <v>Investor</v>
      </c>
      <c r="N84" t="str">
        <f t="shared" ca="1" si="32"/>
        <v>Cash</v>
      </c>
      <c r="O84" s="1">
        <f t="shared" ca="1" si="33"/>
        <v>299</v>
      </c>
      <c r="P84" s="2">
        <f t="shared" ca="1" si="34"/>
        <v>296982.87</v>
      </c>
      <c r="Q84" s="2">
        <f t="shared" ca="1" si="35"/>
        <v>5558726</v>
      </c>
      <c r="R84" s="3">
        <f t="shared" ca="1" si="36"/>
        <v>157133.79365079364</v>
      </c>
      <c r="S84">
        <f t="shared" ca="1" si="37"/>
        <v>63</v>
      </c>
      <c r="T84" s="2">
        <f t="shared" ca="1" si="38"/>
        <v>4340701.7193949921</v>
      </c>
      <c r="U84" s="17">
        <f t="shared" si="41"/>
        <v>2021</v>
      </c>
      <c r="V84" s="20" t="str">
        <f t="shared" si="39"/>
        <v>Jan-2021</v>
      </c>
    </row>
    <row r="85" spans="1:22" x14ac:dyDescent="0.3">
      <c r="A85" t="str">
        <f t="shared" si="40"/>
        <v>TX-00085</v>
      </c>
      <c r="B85" s="6">
        <v>43735</v>
      </c>
      <c r="C85" t="str">
        <f t="shared" ca="1" si="23"/>
        <v>House &amp; Lot</v>
      </c>
      <c r="D85" s="1" t="str">
        <f t="shared" ca="1" si="24"/>
        <v>Cavite</v>
      </c>
      <c r="E85" s="1">
        <f t="shared" ca="1" si="42"/>
        <v>4</v>
      </c>
      <c r="F85" s="1">
        <f t="shared" ca="1" si="42"/>
        <v>4</v>
      </c>
      <c r="G85">
        <f t="shared" ca="1" si="25"/>
        <v>169</v>
      </c>
      <c r="H85">
        <f t="shared" ca="1" si="26"/>
        <v>57</v>
      </c>
      <c r="I85">
        <f t="shared" ca="1" si="27"/>
        <v>2016</v>
      </c>
      <c r="J85" s="2">
        <f t="shared" ca="1" si="28"/>
        <v>10210818</v>
      </c>
      <c r="K85" s="4">
        <f t="shared" ca="1" si="29"/>
        <v>4375465</v>
      </c>
      <c r="L85" t="str">
        <f t="shared" ca="1" si="30"/>
        <v>Joy Ramos</v>
      </c>
      <c r="M85" t="str">
        <f t="shared" ca="1" si="31"/>
        <v>Individual</v>
      </c>
      <c r="N85" t="str">
        <f t="shared" ca="1" si="32"/>
        <v>Bank Loan</v>
      </c>
      <c r="O85" s="1">
        <f t="shared" ca="1" si="33"/>
        <v>231</v>
      </c>
      <c r="P85" s="2">
        <f t="shared" ca="1" si="34"/>
        <v>131263.94999999998</v>
      </c>
      <c r="Q85" s="2">
        <f t="shared" ca="1" si="35"/>
        <v>-5835353</v>
      </c>
      <c r="R85" s="3">
        <f t="shared" ca="1" si="36"/>
        <v>76762.543859649129</v>
      </c>
      <c r="S85">
        <f t="shared" ca="1" si="37"/>
        <v>57</v>
      </c>
      <c r="T85" s="2">
        <f t="shared" ca="1" si="38"/>
        <v>10210818.571487319</v>
      </c>
      <c r="U85" s="17">
        <f t="shared" si="41"/>
        <v>2019</v>
      </c>
      <c r="V85" s="20" t="str">
        <f t="shared" si="39"/>
        <v>Sep-2019</v>
      </c>
    </row>
    <row r="86" spans="1:22" x14ac:dyDescent="0.3">
      <c r="A86" t="str">
        <f t="shared" si="40"/>
        <v>TX-00086</v>
      </c>
      <c r="B86" s="6">
        <v>44132</v>
      </c>
      <c r="C86" t="str">
        <f t="shared" ca="1" si="23"/>
        <v>Condo</v>
      </c>
      <c r="D86" s="1" t="str">
        <f t="shared" ca="1" si="24"/>
        <v>Laguna</v>
      </c>
      <c r="E86" s="1">
        <f t="shared" ca="1" si="42"/>
        <v>4</v>
      </c>
      <c r="F86" s="1">
        <f t="shared" ca="1" si="42"/>
        <v>3</v>
      </c>
      <c r="G86">
        <f t="shared" ca="1" si="25"/>
        <v>42</v>
      </c>
      <c r="H86">
        <f t="shared" ca="1" si="26"/>
        <v>82</v>
      </c>
      <c r="I86">
        <f t="shared" ca="1" si="27"/>
        <v>2021</v>
      </c>
      <c r="J86" s="2">
        <f t="shared" ca="1" si="28"/>
        <v>12303487</v>
      </c>
      <c r="K86" s="4">
        <f t="shared" ca="1" si="29"/>
        <v>4834707</v>
      </c>
      <c r="L86" t="str">
        <f t="shared" ca="1" si="30"/>
        <v>Michelle Flores</v>
      </c>
      <c r="M86" t="str">
        <f t="shared" ca="1" si="31"/>
        <v>Individual</v>
      </c>
      <c r="N86" t="str">
        <f t="shared" ca="1" si="32"/>
        <v>Installment</v>
      </c>
      <c r="O86" s="1">
        <f t="shared" ca="1" si="33"/>
        <v>287</v>
      </c>
      <c r="P86" s="2">
        <f t="shared" ca="1" si="34"/>
        <v>145041.21</v>
      </c>
      <c r="Q86" s="2">
        <f t="shared" ca="1" si="35"/>
        <v>-7468780</v>
      </c>
      <c r="R86" s="3">
        <f t="shared" ca="1" si="36"/>
        <v>115112.07142857143</v>
      </c>
      <c r="S86">
        <f t="shared" ca="1" si="37"/>
        <v>42</v>
      </c>
      <c r="T86" s="2">
        <f t="shared" ca="1" si="38"/>
        <v>12303487.607045792</v>
      </c>
      <c r="U86" s="17">
        <f t="shared" si="41"/>
        <v>2020</v>
      </c>
      <c r="V86" s="20" t="str">
        <f t="shared" si="39"/>
        <v>Oct-2020</v>
      </c>
    </row>
    <row r="87" spans="1:22" x14ac:dyDescent="0.3">
      <c r="A87" t="str">
        <f t="shared" si="40"/>
        <v>TX-00087</v>
      </c>
      <c r="B87" s="6">
        <v>44829</v>
      </c>
      <c r="C87" t="str">
        <f t="shared" ca="1" si="23"/>
        <v>Commercial</v>
      </c>
      <c r="D87" s="1" t="str">
        <f t="shared" ca="1" si="24"/>
        <v>Cavite</v>
      </c>
      <c r="E87" s="1">
        <f t="shared" ca="1" si="42"/>
        <v>4</v>
      </c>
      <c r="F87" s="1">
        <f t="shared" ca="1" si="42"/>
        <v>4</v>
      </c>
      <c r="G87">
        <f t="shared" ca="1" si="25"/>
        <v>199</v>
      </c>
      <c r="H87">
        <f t="shared" ca="1" si="26"/>
        <v>111</v>
      </c>
      <c r="I87">
        <f t="shared" ca="1" si="27"/>
        <v>2015</v>
      </c>
      <c r="J87" s="2">
        <f t="shared" ca="1" si="28"/>
        <v>11032923</v>
      </c>
      <c r="K87" s="4">
        <f t="shared" ca="1" si="29"/>
        <v>8517275</v>
      </c>
      <c r="L87" t="str">
        <f t="shared" ca="1" si="30"/>
        <v>Michelle Flores</v>
      </c>
      <c r="M87" t="str">
        <f t="shared" ca="1" si="31"/>
        <v>OFW</v>
      </c>
      <c r="N87" t="str">
        <f t="shared" ca="1" si="32"/>
        <v>Bank Loan</v>
      </c>
      <c r="O87" s="1">
        <f t="shared" ca="1" si="33"/>
        <v>201</v>
      </c>
      <c r="P87" s="2">
        <f t="shared" ca="1" si="34"/>
        <v>255518.25</v>
      </c>
      <c r="Q87" s="2">
        <f t="shared" ca="1" si="35"/>
        <v>-2515648</v>
      </c>
      <c r="R87" s="3">
        <f t="shared" ca="1" si="36"/>
        <v>76732.207207207204</v>
      </c>
      <c r="S87">
        <f t="shared" ca="1" si="37"/>
        <v>111</v>
      </c>
      <c r="T87" s="2">
        <f t="shared" ca="1" si="38"/>
        <v>11032923.22801283</v>
      </c>
      <c r="U87" s="17">
        <f t="shared" si="41"/>
        <v>2022</v>
      </c>
      <c r="V87" s="20" t="str">
        <f t="shared" si="39"/>
        <v>Sep-2022</v>
      </c>
    </row>
    <row r="88" spans="1:22" x14ac:dyDescent="0.3">
      <c r="A88" t="str">
        <f t="shared" si="40"/>
        <v>TX-00088</v>
      </c>
      <c r="B88" s="6">
        <v>44072</v>
      </c>
      <c r="C88" t="str">
        <f t="shared" ca="1" si="23"/>
        <v>House &amp; Lot</v>
      </c>
      <c r="D88" s="1" t="str">
        <f t="shared" ca="1" si="24"/>
        <v>Makati</v>
      </c>
      <c r="E88" s="1">
        <f t="shared" ca="1" si="42"/>
        <v>4</v>
      </c>
      <c r="F88" s="1">
        <f t="shared" ca="1" si="42"/>
        <v>1</v>
      </c>
      <c r="G88">
        <f t="shared" ca="1" si="25"/>
        <v>153</v>
      </c>
      <c r="H88">
        <f t="shared" ca="1" si="26"/>
        <v>168</v>
      </c>
      <c r="I88">
        <f t="shared" ca="1" si="27"/>
        <v>2018</v>
      </c>
      <c r="J88" s="2">
        <f t="shared" ca="1" si="28"/>
        <v>6149571</v>
      </c>
      <c r="K88" s="4">
        <f t="shared" ca="1" si="29"/>
        <v>3044861</v>
      </c>
      <c r="L88" t="str">
        <f t="shared" ca="1" si="30"/>
        <v>Michelle Flores</v>
      </c>
      <c r="M88" t="str">
        <f t="shared" ca="1" si="31"/>
        <v>OFW</v>
      </c>
      <c r="N88" t="str">
        <f t="shared" ca="1" si="32"/>
        <v>Pag-IBIG Loan</v>
      </c>
      <c r="O88" s="1">
        <f t="shared" ca="1" si="33"/>
        <v>297</v>
      </c>
      <c r="P88" s="2">
        <f t="shared" ca="1" si="34"/>
        <v>91345.83</v>
      </c>
      <c r="Q88" s="2">
        <f t="shared" ca="1" si="35"/>
        <v>-3104710</v>
      </c>
      <c r="R88" s="3">
        <f t="shared" ca="1" si="36"/>
        <v>18124.172619047618</v>
      </c>
      <c r="S88">
        <f t="shared" ca="1" si="37"/>
        <v>168</v>
      </c>
      <c r="T88" s="2">
        <f t="shared" ca="1" si="38"/>
        <v>6149571.504866112</v>
      </c>
      <c r="U88" s="17">
        <f t="shared" si="41"/>
        <v>2020</v>
      </c>
      <c r="V88" s="20" t="str">
        <f t="shared" si="39"/>
        <v>Aug-2020</v>
      </c>
    </row>
    <row r="89" spans="1:22" x14ac:dyDescent="0.3">
      <c r="A89" t="str">
        <f t="shared" si="40"/>
        <v>TX-00089</v>
      </c>
      <c r="B89" s="6">
        <v>43444</v>
      </c>
      <c r="C89" t="str">
        <f t="shared" ca="1" si="23"/>
        <v>House &amp; Lot</v>
      </c>
      <c r="D89" s="1" t="str">
        <f t="shared" ca="1" si="24"/>
        <v>Bulacan</v>
      </c>
      <c r="E89" s="1">
        <f t="shared" ca="1" si="42"/>
        <v>3</v>
      </c>
      <c r="F89" s="1">
        <f t="shared" ca="1" si="42"/>
        <v>1</v>
      </c>
      <c r="G89">
        <f t="shared" ca="1" si="25"/>
        <v>123</v>
      </c>
      <c r="H89">
        <f t="shared" ca="1" si="26"/>
        <v>123</v>
      </c>
      <c r="I89">
        <f t="shared" ca="1" si="27"/>
        <v>2015</v>
      </c>
      <c r="J89" s="2">
        <f t="shared" ca="1" si="28"/>
        <v>8449388</v>
      </c>
      <c r="K89" s="4">
        <f t="shared" ca="1" si="29"/>
        <v>1617536</v>
      </c>
      <c r="L89" t="str">
        <f t="shared" ca="1" si="30"/>
        <v>Michael Santos</v>
      </c>
      <c r="M89" t="str">
        <f t="shared" ca="1" si="31"/>
        <v>Investor</v>
      </c>
      <c r="N89" t="str">
        <f t="shared" ca="1" si="32"/>
        <v>Bank Loan</v>
      </c>
      <c r="O89" s="1">
        <f t="shared" ca="1" si="33"/>
        <v>115</v>
      </c>
      <c r="P89" s="2">
        <f t="shared" ca="1" si="34"/>
        <v>48526.080000000002</v>
      </c>
      <c r="Q89" s="2">
        <f t="shared" ca="1" si="35"/>
        <v>-6831852</v>
      </c>
      <c r="R89" s="3">
        <f t="shared" ca="1" si="36"/>
        <v>13150.699186991869</v>
      </c>
      <c r="S89">
        <f t="shared" ca="1" si="37"/>
        <v>123</v>
      </c>
      <c r="T89" s="2">
        <f t="shared" ca="1" si="38"/>
        <v>8449388.8085617553</v>
      </c>
      <c r="U89" s="17">
        <f t="shared" si="41"/>
        <v>2018</v>
      </c>
      <c r="V89" s="20" t="str">
        <f t="shared" si="39"/>
        <v>Dec-2018</v>
      </c>
    </row>
    <row r="90" spans="1:22" x14ac:dyDescent="0.3">
      <c r="A90" t="str">
        <f t="shared" si="40"/>
        <v>TX-00090</v>
      </c>
      <c r="B90" s="6">
        <v>43368</v>
      </c>
      <c r="C90" t="str">
        <f t="shared" ca="1" si="23"/>
        <v>House &amp; Lot</v>
      </c>
      <c r="D90" s="1" t="str">
        <f t="shared" ca="1" si="24"/>
        <v>Makati</v>
      </c>
      <c r="E90" s="1">
        <f t="shared" ca="1" si="42"/>
        <v>2</v>
      </c>
      <c r="F90" s="1">
        <f t="shared" ca="1" si="42"/>
        <v>4</v>
      </c>
      <c r="G90">
        <f t="shared" ca="1" si="25"/>
        <v>114</v>
      </c>
      <c r="H90">
        <f t="shared" ca="1" si="26"/>
        <v>211</v>
      </c>
      <c r="I90">
        <f t="shared" ca="1" si="27"/>
        <v>2011</v>
      </c>
      <c r="J90" s="2">
        <f t="shared" ca="1" si="28"/>
        <v>7536010</v>
      </c>
      <c r="K90" s="4">
        <f t="shared" ca="1" si="29"/>
        <v>10133562</v>
      </c>
      <c r="L90" t="str">
        <f t="shared" ca="1" si="30"/>
        <v>Daniel Cruz</v>
      </c>
      <c r="M90" t="str">
        <f t="shared" ca="1" si="31"/>
        <v>Investor</v>
      </c>
      <c r="N90" t="str">
        <f t="shared" ca="1" si="32"/>
        <v>Installment</v>
      </c>
      <c r="O90" s="1">
        <f t="shared" ca="1" si="33"/>
        <v>181</v>
      </c>
      <c r="P90" s="2">
        <f t="shared" ca="1" si="34"/>
        <v>304006.86</v>
      </c>
      <c r="Q90" s="2">
        <f t="shared" ca="1" si="35"/>
        <v>2597552</v>
      </c>
      <c r="R90" s="3">
        <f t="shared" ca="1" si="36"/>
        <v>48026.360189573461</v>
      </c>
      <c r="S90">
        <f t="shared" ca="1" si="37"/>
        <v>211</v>
      </c>
      <c r="T90" s="2">
        <f t="shared" ca="1" si="38"/>
        <v>7536009.6553146821</v>
      </c>
      <c r="U90" s="17">
        <f t="shared" si="41"/>
        <v>2018</v>
      </c>
      <c r="V90" s="20" t="str">
        <f t="shared" si="39"/>
        <v>Sep-2018</v>
      </c>
    </row>
    <row r="91" spans="1:22" x14ac:dyDescent="0.3">
      <c r="A91" t="str">
        <f t="shared" si="40"/>
        <v>TX-00091</v>
      </c>
      <c r="B91" s="6">
        <v>45175</v>
      </c>
      <c r="C91" t="str">
        <f t="shared" ca="1" si="23"/>
        <v>House &amp; Lot</v>
      </c>
      <c r="D91" s="1" t="str">
        <f t="shared" ca="1" si="24"/>
        <v>Cavite</v>
      </c>
      <c r="E91" s="1">
        <f t="shared" ca="1" si="42"/>
        <v>4</v>
      </c>
      <c r="F91" s="1">
        <f t="shared" ca="1" si="42"/>
        <v>4</v>
      </c>
      <c r="G91">
        <f t="shared" ca="1" si="25"/>
        <v>54</v>
      </c>
      <c r="H91">
        <f t="shared" ca="1" si="26"/>
        <v>245</v>
      </c>
      <c r="I91">
        <f t="shared" ca="1" si="27"/>
        <v>2012</v>
      </c>
      <c r="J91" s="2">
        <f t="shared" ca="1" si="28"/>
        <v>10254700</v>
      </c>
      <c r="K91" s="4">
        <f t="shared" ca="1" si="29"/>
        <v>6467282</v>
      </c>
      <c r="L91" t="str">
        <f t="shared" ca="1" si="30"/>
        <v>Mary Garcia</v>
      </c>
      <c r="M91" t="str">
        <f t="shared" ca="1" si="31"/>
        <v>Corporation</v>
      </c>
      <c r="N91" t="str">
        <f t="shared" ca="1" si="32"/>
        <v>Cash</v>
      </c>
      <c r="O91" s="1">
        <f t="shared" ca="1" si="33"/>
        <v>201</v>
      </c>
      <c r="P91" s="2">
        <f t="shared" ca="1" si="34"/>
        <v>194018.46</v>
      </c>
      <c r="Q91" s="2">
        <f t="shared" ca="1" si="35"/>
        <v>-3787418</v>
      </c>
      <c r="R91" s="3">
        <f t="shared" ca="1" si="36"/>
        <v>26397.069387755102</v>
      </c>
      <c r="S91">
        <f t="shared" ca="1" si="37"/>
        <v>245</v>
      </c>
      <c r="T91" s="2">
        <f t="shared" ca="1" si="38"/>
        <v>10254700.369334841</v>
      </c>
      <c r="U91" s="17">
        <f t="shared" si="41"/>
        <v>2023</v>
      </c>
      <c r="V91" s="20" t="str">
        <f t="shared" si="39"/>
        <v>Sep-2023</v>
      </c>
    </row>
    <row r="92" spans="1:22" x14ac:dyDescent="0.3">
      <c r="A92" t="str">
        <f t="shared" si="40"/>
        <v>TX-00092</v>
      </c>
      <c r="B92" s="6">
        <v>43912</v>
      </c>
      <c r="C92" t="str">
        <f t="shared" ca="1" si="23"/>
        <v>House &amp; Lot</v>
      </c>
      <c r="D92" s="1" t="str">
        <f t="shared" ca="1" si="24"/>
        <v>Laguna</v>
      </c>
      <c r="E92" s="1">
        <f t="shared" ca="1" si="42"/>
        <v>2</v>
      </c>
      <c r="F92" s="1">
        <f t="shared" ca="1" si="42"/>
        <v>1</v>
      </c>
      <c r="G92">
        <f t="shared" ca="1" si="25"/>
        <v>155</v>
      </c>
      <c r="H92">
        <f t="shared" ca="1" si="26"/>
        <v>236</v>
      </c>
      <c r="I92">
        <f t="shared" ca="1" si="27"/>
        <v>2022</v>
      </c>
      <c r="J92" s="2">
        <f t="shared" ca="1" si="28"/>
        <v>6168148</v>
      </c>
      <c r="K92" s="4">
        <f t="shared" ca="1" si="29"/>
        <v>5306127</v>
      </c>
      <c r="L92" t="str">
        <f t="shared" ca="1" si="30"/>
        <v>Michael Santos</v>
      </c>
      <c r="M92" t="str">
        <f t="shared" ca="1" si="31"/>
        <v>Corporation</v>
      </c>
      <c r="N92" t="str">
        <f t="shared" ca="1" si="32"/>
        <v>Cash</v>
      </c>
      <c r="O92" s="1">
        <f t="shared" ca="1" si="33"/>
        <v>374</v>
      </c>
      <c r="P92" s="2">
        <f t="shared" ca="1" si="34"/>
        <v>159183.81</v>
      </c>
      <c r="Q92" s="2">
        <f t="shared" ca="1" si="35"/>
        <v>-862021</v>
      </c>
      <c r="R92" s="3">
        <f t="shared" ca="1" si="36"/>
        <v>22483.588983050846</v>
      </c>
      <c r="S92">
        <f t="shared" ca="1" si="37"/>
        <v>236</v>
      </c>
      <c r="T92" s="2">
        <f t="shared" ca="1" si="38"/>
        <v>6168148.1397536183</v>
      </c>
      <c r="U92" s="17">
        <f t="shared" si="41"/>
        <v>2020</v>
      </c>
      <c r="V92" s="20" t="str">
        <f t="shared" si="39"/>
        <v>Mar-2020</v>
      </c>
    </row>
    <row r="93" spans="1:22" x14ac:dyDescent="0.3">
      <c r="A93" t="str">
        <f t="shared" si="40"/>
        <v>TX-00093</v>
      </c>
      <c r="B93" s="6">
        <v>45882</v>
      </c>
      <c r="C93" t="str">
        <f t="shared" ca="1" si="23"/>
        <v>Commercial</v>
      </c>
      <c r="D93" s="1" t="str">
        <f t="shared" ca="1" si="24"/>
        <v>Cavite</v>
      </c>
      <c r="E93" s="1">
        <f t="shared" ca="1" si="42"/>
        <v>3</v>
      </c>
      <c r="F93" s="1">
        <f t="shared" ca="1" si="42"/>
        <v>3</v>
      </c>
      <c r="G93">
        <f t="shared" ca="1" si="25"/>
        <v>66</v>
      </c>
      <c r="H93">
        <f t="shared" ca="1" si="26"/>
        <v>188</v>
      </c>
      <c r="I93">
        <f t="shared" ca="1" si="27"/>
        <v>2011</v>
      </c>
      <c r="J93" s="2">
        <f t="shared" ca="1" si="28"/>
        <v>3438863</v>
      </c>
      <c r="K93" s="4">
        <f t="shared" ca="1" si="29"/>
        <v>8845803</v>
      </c>
      <c r="L93" t="str">
        <f t="shared" ca="1" si="30"/>
        <v>Michelle Flores</v>
      </c>
      <c r="M93" t="str">
        <f t="shared" ca="1" si="31"/>
        <v>Investor</v>
      </c>
      <c r="N93" t="str">
        <f t="shared" ca="1" si="32"/>
        <v>Bank Loan</v>
      </c>
      <c r="O93" s="1">
        <f t="shared" ca="1" si="33"/>
        <v>175</v>
      </c>
      <c r="P93" s="2">
        <f t="shared" ca="1" si="34"/>
        <v>265374.08999999997</v>
      </c>
      <c r="Q93" s="2">
        <f t="shared" ca="1" si="35"/>
        <v>5406940</v>
      </c>
      <c r="R93" s="3">
        <f t="shared" ca="1" si="36"/>
        <v>47052.143617021276</v>
      </c>
      <c r="S93">
        <f t="shared" ca="1" si="37"/>
        <v>188</v>
      </c>
      <c r="T93" s="2">
        <f t="shared" ca="1" si="38"/>
        <v>3438861.4276954331</v>
      </c>
      <c r="U93" s="17">
        <f t="shared" si="41"/>
        <v>2025</v>
      </c>
      <c r="V93" s="20" t="str">
        <f t="shared" si="39"/>
        <v>Aug-2025</v>
      </c>
    </row>
    <row r="94" spans="1:22" x14ac:dyDescent="0.3">
      <c r="A94" t="str">
        <f t="shared" si="40"/>
        <v>TX-00094</v>
      </c>
      <c r="B94" s="6">
        <v>45070</v>
      </c>
      <c r="C94" t="str">
        <f t="shared" ca="1" si="23"/>
        <v>Land</v>
      </c>
      <c r="D94" s="1" t="str">
        <f t="shared" ca="1" si="24"/>
        <v>Bulacan</v>
      </c>
      <c r="E94" s="1">
        <f t="shared" ca="1" si="42"/>
        <v>1</v>
      </c>
      <c r="F94" s="1">
        <f t="shared" ca="1" si="42"/>
        <v>1</v>
      </c>
      <c r="G94">
        <f t="shared" ca="1" si="25"/>
        <v>58</v>
      </c>
      <c r="H94">
        <f t="shared" ca="1" si="26"/>
        <v>83</v>
      </c>
      <c r="I94">
        <f t="shared" ca="1" si="27"/>
        <v>2017</v>
      </c>
      <c r="J94" s="2">
        <f t="shared" ca="1" si="28"/>
        <v>2838660</v>
      </c>
      <c r="K94" s="4">
        <f t="shared" ca="1" si="29"/>
        <v>4396296</v>
      </c>
      <c r="L94" t="str">
        <f t="shared" ca="1" si="30"/>
        <v>Anna Mendoza</v>
      </c>
      <c r="M94" t="str">
        <f t="shared" ca="1" si="31"/>
        <v>Individual</v>
      </c>
      <c r="N94" t="str">
        <f t="shared" ca="1" si="32"/>
        <v>Bank Loan</v>
      </c>
      <c r="O94" s="1">
        <f t="shared" ca="1" si="33"/>
        <v>242</v>
      </c>
      <c r="P94" s="2">
        <f t="shared" ca="1" si="34"/>
        <v>131888.88</v>
      </c>
      <c r="Q94" s="2">
        <f t="shared" ca="1" si="35"/>
        <v>1557636</v>
      </c>
      <c r="R94" s="3">
        <f t="shared" ca="1" si="36"/>
        <v>52967.421686746988</v>
      </c>
      <c r="S94">
        <f t="shared" ca="1" si="37"/>
        <v>83</v>
      </c>
      <c r="T94" s="2">
        <f t="shared" ca="1" si="38"/>
        <v>2838659.4512777156</v>
      </c>
      <c r="U94" s="17">
        <f t="shared" si="41"/>
        <v>2023</v>
      </c>
      <c r="V94" s="20" t="str">
        <f t="shared" si="39"/>
        <v>May-2023</v>
      </c>
    </row>
    <row r="95" spans="1:22" x14ac:dyDescent="0.3">
      <c r="A95" t="str">
        <f t="shared" si="40"/>
        <v>TX-00095</v>
      </c>
      <c r="B95" s="6">
        <v>45925</v>
      </c>
      <c r="C95" t="str">
        <f t="shared" ca="1" si="23"/>
        <v>Commercial</v>
      </c>
      <c r="D95" s="1" t="str">
        <f t="shared" ca="1" si="24"/>
        <v>Laguna</v>
      </c>
      <c r="E95" s="1">
        <f t="shared" ca="1" si="42"/>
        <v>4</v>
      </c>
      <c r="F95" s="1">
        <f t="shared" ca="1" si="42"/>
        <v>3</v>
      </c>
      <c r="G95">
        <f t="shared" ca="1" si="25"/>
        <v>78</v>
      </c>
      <c r="H95">
        <f t="shared" ca="1" si="26"/>
        <v>65</v>
      </c>
      <c r="I95">
        <f t="shared" ca="1" si="27"/>
        <v>2013</v>
      </c>
      <c r="J95" s="2">
        <f t="shared" ca="1" si="28"/>
        <v>4667966</v>
      </c>
      <c r="K95" s="4">
        <f t="shared" ca="1" si="29"/>
        <v>1888171</v>
      </c>
      <c r="L95" t="str">
        <f t="shared" ca="1" si="30"/>
        <v>Anna Mendoza</v>
      </c>
      <c r="M95" t="str">
        <f t="shared" ca="1" si="31"/>
        <v>Individual</v>
      </c>
      <c r="N95" t="str">
        <f t="shared" ca="1" si="32"/>
        <v>Pag-IBIG Loan</v>
      </c>
      <c r="O95" s="1">
        <f t="shared" ca="1" si="33"/>
        <v>398</v>
      </c>
      <c r="P95" s="2">
        <f t="shared" ca="1" si="34"/>
        <v>56645.13</v>
      </c>
      <c r="Q95" s="2">
        <f t="shared" ca="1" si="35"/>
        <v>-2779795</v>
      </c>
      <c r="R95" s="3">
        <f t="shared" ca="1" si="36"/>
        <v>29048.784615384615</v>
      </c>
      <c r="S95">
        <f t="shared" ca="1" si="37"/>
        <v>65</v>
      </c>
      <c r="T95" s="2">
        <f t="shared" ca="1" si="38"/>
        <v>4667966.5955045521</v>
      </c>
      <c r="U95" s="17">
        <f t="shared" si="41"/>
        <v>2025</v>
      </c>
      <c r="V95" s="20" t="str">
        <f t="shared" si="39"/>
        <v>Sep-2025</v>
      </c>
    </row>
    <row r="96" spans="1:22" x14ac:dyDescent="0.3">
      <c r="A96" t="str">
        <f t="shared" si="40"/>
        <v>TX-00096</v>
      </c>
      <c r="B96" s="6">
        <v>45109</v>
      </c>
      <c r="C96" t="str">
        <f t="shared" ca="1" si="23"/>
        <v>Land</v>
      </c>
      <c r="D96" s="1" t="str">
        <f t="shared" ca="1" si="24"/>
        <v>Makati</v>
      </c>
      <c r="E96" s="1">
        <f t="shared" ca="1" si="42"/>
        <v>2</v>
      </c>
      <c r="F96" s="1">
        <f t="shared" ca="1" si="42"/>
        <v>4</v>
      </c>
      <c r="G96">
        <f t="shared" ca="1" si="25"/>
        <v>67</v>
      </c>
      <c r="H96">
        <f t="shared" ca="1" si="26"/>
        <v>221</v>
      </c>
      <c r="I96">
        <f t="shared" ca="1" si="27"/>
        <v>2022</v>
      </c>
      <c r="J96" s="2">
        <f t="shared" ca="1" si="28"/>
        <v>7993101</v>
      </c>
      <c r="K96" s="4">
        <f t="shared" ca="1" si="29"/>
        <v>11142248</v>
      </c>
      <c r="L96" t="str">
        <f t="shared" ca="1" si="30"/>
        <v>Anna Mendoza</v>
      </c>
      <c r="M96" t="str">
        <f t="shared" ca="1" si="31"/>
        <v>Investor</v>
      </c>
      <c r="N96" t="str">
        <f t="shared" ca="1" si="32"/>
        <v>Cash</v>
      </c>
      <c r="O96" s="1">
        <f t="shared" ca="1" si="33"/>
        <v>189</v>
      </c>
      <c r="P96" s="2">
        <f t="shared" ca="1" si="34"/>
        <v>334267.44</v>
      </c>
      <c r="Q96" s="2">
        <f t="shared" ca="1" si="35"/>
        <v>3149147</v>
      </c>
      <c r="R96" s="3">
        <f t="shared" ca="1" si="36"/>
        <v>50417.411764705881</v>
      </c>
      <c r="S96">
        <f t="shared" ca="1" si="37"/>
        <v>221</v>
      </c>
      <c r="T96" s="2">
        <f t="shared" ca="1" si="38"/>
        <v>7993100.6060168641</v>
      </c>
      <c r="U96" s="17">
        <f t="shared" si="41"/>
        <v>2023</v>
      </c>
      <c r="V96" s="20" t="str">
        <f t="shared" si="39"/>
        <v>Jul-2023</v>
      </c>
    </row>
    <row r="97" spans="1:22" x14ac:dyDescent="0.3">
      <c r="A97" t="str">
        <f t="shared" si="40"/>
        <v>TX-00097</v>
      </c>
      <c r="B97" s="6">
        <v>45907</v>
      </c>
      <c r="C97" t="str">
        <f t="shared" ca="1" si="23"/>
        <v>House &amp; Lot</v>
      </c>
      <c r="D97" s="1" t="str">
        <f t="shared" ca="1" si="24"/>
        <v>Cavite</v>
      </c>
      <c r="E97" s="1">
        <f t="shared" ca="1" si="42"/>
        <v>2</v>
      </c>
      <c r="F97" s="1">
        <f t="shared" ca="1" si="42"/>
        <v>1</v>
      </c>
      <c r="G97">
        <f t="shared" ca="1" si="25"/>
        <v>100</v>
      </c>
      <c r="H97">
        <f t="shared" ca="1" si="26"/>
        <v>85</v>
      </c>
      <c r="I97">
        <f t="shared" ca="1" si="27"/>
        <v>2012</v>
      </c>
      <c r="J97" s="2">
        <f t="shared" ca="1" si="28"/>
        <v>11455824</v>
      </c>
      <c r="K97" s="4">
        <f t="shared" ca="1" si="29"/>
        <v>6107534</v>
      </c>
      <c r="L97" t="str">
        <f t="shared" ca="1" si="30"/>
        <v>Joy Ramos</v>
      </c>
      <c r="M97" t="str">
        <f t="shared" ca="1" si="31"/>
        <v>Individual</v>
      </c>
      <c r="N97" t="str">
        <f t="shared" ca="1" si="32"/>
        <v>Pag-IBIG Loan</v>
      </c>
      <c r="O97" s="1">
        <f t="shared" ca="1" si="33"/>
        <v>135</v>
      </c>
      <c r="P97" s="2">
        <f t="shared" ca="1" si="34"/>
        <v>183226.02</v>
      </c>
      <c r="Q97" s="2">
        <f t="shared" ca="1" si="35"/>
        <v>-5348290</v>
      </c>
      <c r="R97" s="3">
        <f t="shared" ca="1" si="36"/>
        <v>71853.341176470582</v>
      </c>
      <c r="S97">
        <f t="shared" ca="1" si="37"/>
        <v>85</v>
      </c>
      <c r="T97" s="2">
        <f t="shared" ca="1" si="38"/>
        <v>11455824.466862096</v>
      </c>
      <c r="U97" s="17">
        <f t="shared" si="41"/>
        <v>2025</v>
      </c>
      <c r="V97" s="20" t="str">
        <f t="shared" si="39"/>
        <v>Sep-2025</v>
      </c>
    </row>
    <row r="98" spans="1:22" x14ac:dyDescent="0.3">
      <c r="A98" t="str">
        <f t="shared" si="40"/>
        <v>TX-00098</v>
      </c>
      <c r="B98" s="6">
        <v>45935</v>
      </c>
      <c r="C98" t="str">
        <f t="shared" ca="1" si="23"/>
        <v>House &amp; Lot</v>
      </c>
      <c r="D98" s="1" t="str">
        <f t="shared" ca="1" si="24"/>
        <v>Laguna</v>
      </c>
      <c r="E98" s="1">
        <f t="shared" ca="1" si="42"/>
        <v>4</v>
      </c>
      <c r="F98" s="1">
        <f t="shared" ca="1" si="42"/>
        <v>2</v>
      </c>
      <c r="G98">
        <f t="shared" ca="1" si="25"/>
        <v>157</v>
      </c>
      <c r="H98">
        <f t="shared" ca="1" si="26"/>
        <v>105</v>
      </c>
      <c r="I98">
        <f t="shared" ca="1" si="27"/>
        <v>2023</v>
      </c>
      <c r="J98" s="2">
        <f t="shared" ca="1" si="28"/>
        <v>14634113</v>
      </c>
      <c r="K98" s="4">
        <f t="shared" ca="1" si="29"/>
        <v>5416722</v>
      </c>
      <c r="L98" t="str">
        <f t="shared" ca="1" si="30"/>
        <v>Anna Mendoza</v>
      </c>
      <c r="M98" t="str">
        <f t="shared" ca="1" si="31"/>
        <v>Corporation</v>
      </c>
      <c r="N98" t="str">
        <f t="shared" ca="1" si="32"/>
        <v>Pag-IBIG Loan</v>
      </c>
      <c r="O98" s="1">
        <f t="shared" ca="1" si="33"/>
        <v>392</v>
      </c>
      <c r="P98" s="2">
        <f t="shared" ca="1" si="34"/>
        <v>162501.66</v>
      </c>
      <c r="Q98" s="2">
        <f t="shared" ca="1" si="35"/>
        <v>-9217391</v>
      </c>
      <c r="R98" s="3">
        <f t="shared" ca="1" si="36"/>
        <v>51587.828571428574</v>
      </c>
      <c r="S98">
        <f t="shared" ca="1" si="37"/>
        <v>105</v>
      </c>
      <c r="T98" s="2">
        <f t="shared" ca="1" si="38"/>
        <v>14634113.629856486</v>
      </c>
      <c r="U98" s="17">
        <f t="shared" si="41"/>
        <v>2025</v>
      </c>
      <c r="V98" s="20" t="str">
        <f t="shared" si="39"/>
        <v>Oct-2025</v>
      </c>
    </row>
    <row r="99" spans="1:22" x14ac:dyDescent="0.3">
      <c r="A99" t="str">
        <f t="shared" si="40"/>
        <v>TX-00099</v>
      </c>
      <c r="B99" s="6">
        <v>45043</v>
      </c>
      <c r="C99" t="str">
        <f t="shared" ca="1" si="23"/>
        <v>Commercial</v>
      </c>
      <c r="D99" s="1" t="str">
        <f t="shared" ca="1" si="24"/>
        <v>Cavite</v>
      </c>
      <c r="E99" s="1">
        <f t="shared" ca="1" si="42"/>
        <v>4</v>
      </c>
      <c r="F99" s="1">
        <f t="shared" ca="1" si="42"/>
        <v>4</v>
      </c>
      <c r="G99">
        <f t="shared" ca="1" si="25"/>
        <v>94</v>
      </c>
      <c r="H99">
        <f t="shared" ca="1" si="26"/>
        <v>52</v>
      </c>
      <c r="I99">
        <f t="shared" ca="1" si="27"/>
        <v>2019</v>
      </c>
      <c r="J99" s="2">
        <f t="shared" ca="1" si="28"/>
        <v>9200351</v>
      </c>
      <c r="K99" s="4">
        <f t="shared" ca="1" si="29"/>
        <v>12902557</v>
      </c>
      <c r="L99" t="str">
        <f t="shared" ca="1" si="30"/>
        <v>Rachel Villanueva</v>
      </c>
      <c r="M99" t="str">
        <f t="shared" ca="1" si="31"/>
        <v>OFW</v>
      </c>
      <c r="N99" t="str">
        <f t="shared" ca="1" si="32"/>
        <v>Cash</v>
      </c>
      <c r="O99" s="1">
        <f t="shared" ca="1" si="33"/>
        <v>159</v>
      </c>
      <c r="P99" s="2">
        <f t="shared" ca="1" si="34"/>
        <v>387076.70999999996</v>
      </c>
      <c r="Q99" s="2">
        <f t="shared" ca="1" si="35"/>
        <v>3702206</v>
      </c>
      <c r="R99" s="3">
        <f t="shared" ca="1" si="36"/>
        <v>248126.09615384616</v>
      </c>
      <c r="S99">
        <f t="shared" ca="1" si="37"/>
        <v>52</v>
      </c>
      <c r="T99" s="2">
        <f t="shared" ca="1" si="38"/>
        <v>9200350.5976016559</v>
      </c>
      <c r="U99" s="17">
        <f t="shared" si="41"/>
        <v>2023</v>
      </c>
      <c r="V99" s="20" t="str">
        <f t="shared" si="39"/>
        <v>Apr-2023</v>
      </c>
    </row>
    <row r="100" spans="1:22" x14ac:dyDescent="0.3">
      <c r="A100" t="str">
        <f t="shared" si="40"/>
        <v>TX-00100</v>
      </c>
      <c r="B100" s="6">
        <v>44774</v>
      </c>
      <c r="C100" t="str">
        <f t="shared" ca="1" si="23"/>
        <v>Commercial</v>
      </c>
      <c r="D100" s="1" t="str">
        <f t="shared" ca="1" si="24"/>
        <v>Makati</v>
      </c>
      <c r="E100" s="1">
        <f t="shared" ca="1" si="42"/>
        <v>3</v>
      </c>
      <c r="F100" s="1">
        <f t="shared" ca="1" si="42"/>
        <v>2</v>
      </c>
      <c r="G100">
        <f t="shared" ca="1" si="25"/>
        <v>64</v>
      </c>
      <c r="H100">
        <f t="shared" ca="1" si="26"/>
        <v>132</v>
      </c>
      <c r="I100">
        <f t="shared" ca="1" si="27"/>
        <v>2015</v>
      </c>
      <c r="J100" s="2">
        <f t="shared" ca="1" si="28"/>
        <v>13990176</v>
      </c>
      <c r="K100" s="4">
        <f t="shared" ca="1" si="29"/>
        <v>2821699</v>
      </c>
      <c r="L100" t="str">
        <f t="shared" ca="1" si="30"/>
        <v>Daniel Cruz</v>
      </c>
      <c r="M100" t="str">
        <f t="shared" ca="1" si="31"/>
        <v>OFW</v>
      </c>
      <c r="N100" t="str">
        <f t="shared" ca="1" si="32"/>
        <v>Bank Loan</v>
      </c>
      <c r="O100" s="1">
        <f t="shared" ca="1" si="33"/>
        <v>192</v>
      </c>
      <c r="P100" s="2">
        <f t="shared" ca="1" si="34"/>
        <v>84650.97</v>
      </c>
      <c r="Q100" s="2">
        <f t="shared" ca="1" si="35"/>
        <v>-11168477</v>
      </c>
      <c r="R100" s="3">
        <f t="shared" ca="1" si="36"/>
        <v>21376.507575757576</v>
      </c>
      <c r="S100">
        <f t="shared" ca="1" si="37"/>
        <v>132</v>
      </c>
      <c r="T100" s="2">
        <f t="shared" ca="1" si="38"/>
        <v>13990176.798308542</v>
      </c>
      <c r="U100" s="17">
        <f t="shared" si="41"/>
        <v>2022</v>
      </c>
      <c r="V100" s="20" t="str">
        <f t="shared" si="39"/>
        <v>Aug-2022</v>
      </c>
    </row>
    <row r="101" spans="1:22" x14ac:dyDescent="0.3">
      <c r="A101" t="str">
        <f t="shared" si="40"/>
        <v>TX-00101</v>
      </c>
      <c r="B101" s="6">
        <v>44786</v>
      </c>
      <c r="C101" t="str">
        <f t="shared" ca="1" si="23"/>
        <v>Commercial</v>
      </c>
      <c r="D101" s="1" t="str">
        <f t="shared" ca="1" si="24"/>
        <v>Makati</v>
      </c>
      <c r="E101" s="1">
        <f t="shared" ca="1" si="42"/>
        <v>1</v>
      </c>
      <c r="F101" s="1">
        <f t="shared" ca="1" si="42"/>
        <v>3</v>
      </c>
      <c r="G101">
        <f t="shared" ca="1" si="25"/>
        <v>81</v>
      </c>
      <c r="H101">
        <f t="shared" ca="1" si="26"/>
        <v>69</v>
      </c>
      <c r="I101">
        <f t="shared" ca="1" si="27"/>
        <v>2013</v>
      </c>
      <c r="J101" s="2">
        <f t="shared" ca="1" si="28"/>
        <v>10584899</v>
      </c>
      <c r="K101" s="4">
        <f t="shared" ca="1" si="29"/>
        <v>10303768</v>
      </c>
      <c r="L101" t="str">
        <f t="shared" ca="1" si="30"/>
        <v>Rachel Villanueva</v>
      </c>
      <c r="M101" t="str">
        <f t="shared" ca="1" si="31"/>
        <v>Individual</v>
      </c>
      <c r="N101" t="str">
        <f t="shared" ca="1" si="32"/>
        <v>Pag-IBIG Loan</v>
      </c>
      <c r="O101" s="1">
        <f t="shared" ca="1" si="33"/>
        <v>320</v>
      </c>
      <c r="P101" s="2">
        <f t="shared" ca="1" si="34"/>
        <v>309113.03999999998</v>
      </c>
      <c r="Q101" s="2">
        <f t="shared" ca="1" si="35"/>
        <v>-281131</v>
      </c>
      <c r="R101" s="3">
        <f t="shared" ca="1" si="36"/>
        <v>149329.97101449277</v>
      </c>
      <c r="S101">
        <f t="shared" ca="1" si="37"/>
        <v>69</v>
      </c>
      <c r="T101" s="2">
        <f t="shared" ca="1" si="38"/>
        <v>10584899.02655963</v>
      </c>
      <c r="U101" s="17">
        <f t="shared" si="41"/>
        <v>2022</v>
      </c>
      <c r="V101" s="20" t="str">
        <f t="shared" si="39"/>
        <v>Aug-2022</v>
      </c>
    </row>
    <row r="102" spans="1:22" x14ac:dyDescent="0.3">
      <c r="A102" t="str">
        <f t="shared" si="40"/>
        <v>TX-00102</v>
      </c>
      <c r="B102" s="6">
        <v>43410</v>
      </c>
      <c r="C102" t="str">
        <f t="shared" ca="1" si="23"/>
        <v>Land</v>
      </c>
      <c r="D102" s="1" t="str">
        <f t="shared" ca="1" si="24"/>
        <v>Laguna</v>
      </c>
      <c r="E102" s="1">
        <f t="shared" ref="E102:F121" ca="1" si="43">RANDBETWEEN(1,4)</f>
        <v>3</v>
      </c>
      <c r="F102" s="1">
        <f t="shared" ca="1" si="43"/>
        <v>2</v>
      </c>
      <c r="G102">
        <f t="shared" ca="1" si="25"/>
        <v>91</v>
      </c>
      <c r="H102">
        <f t="shared" ca="1" si="26"/>
        <v>157</v>
      </c>
      <c r="I102">
        <f t="shared" ca="1" si="27"/>
        <v>2023</v>
      </c>
      <c r="J102" s="2">
        <f t="shared" ca="1" si="28"/>
        <v>3526072</v>
      </c>
      <c r="K102" s="4">
        <f t="shared" ca="1" si="29"/>
        <v>11246279</v>
      </c>
      <c r="L102" t="str">
        <f t="shared" ca="1" si="30"/>
        <v>Daniel Cruz</v>
      </c>
      <c r="M102" t="str">
        <f t="shared" ca="1" si="31"/>
        <v>OFW</v>
      </c>
      <c r="N102" t="str">
        <f t="shared" ca="1" si="32"/>
        <v>Pag-IBIG Loan</v>
      </c>
      <c r="O102" s="1">
        <f t="shared" ca="1" si="33"/>
        <v>317</v>
      </c>
      <c r="P102" s="2">
        <f t="shared" ca="1" si="34"/>
        <v>337388.37</v>
      </c>
      <c r="Q102" s="2">
        <f t="shared" ca="1" si="35"/>
        <v>7720207</v>
      </c>
      <c r="R102" s="3">
        <f t="shared" ca="1" si="36"/>
        <v>71632.350318471334</v>
      </c>
      <c r="S102">
        <f t="shared" ca="1" si="37"/>
        <v>157</v>
      </c>
      <c r="T102" s="2">
        <f t="shared" ca="1" si="38"/>
        <v>3526069.8105362002</v>
      </c>
      <c r="U102" s="17">
        <f t="shared" si="41"/>
        <v>2018</v>
      </c>
      <c r="V102" s="20" t="str">
        <f t="shared" si="39"/>
        <v>Nov-2018</v>
      </c>
    </row>
    <row r="103" spans="1:22" x14ac:dyDescent="0.3">
      <c r="A103" t="str">
        <f t="shared" si="40"/>
        <v>TX-00103</v>
      </c>
      <c r="B103" s="6">
        <v>45080</v>
      </c>
      <c r="C103" t="str">
        <f t="shared" ca="1" si="23"/>
        <v>Land</v>
      </c>
      <c r="D103" s="1" t="str">
        <f t="shared" ca="1" si="24"/>
        <v>Cavite</v>
      </c>
      <c r="E103" s="1">
        <f t="shared" ca="1" si="43"/>
        <v>3</v>
      </c>
      <c r="F103" s="1">
        <f t="shared" ca="1" si="43"/>
        <v>4</v>
      </c>
      <c r="G103">
        <f t="shared" ca="1" si="25"/>
        <v>50</v>
      </c>
      <c r="H103">
        <f t="shared" ca="1" si="26"/>
        <v>210</v>
      </c>
      <c r="I103">
        <f t="shared" ca="1" si="27"/>
        <v>2019</v>
      </c>
      <c r="J103" s="2">
        <f t="shared" ca="1" si="28"/>
        <v>4876347</v>
      </c>
      <c r="K103" s="4">
        <f t="shared" ca="1" si="29"/>
        <v>12766244</v>
      </c>
      <c r="L103" t="str">
        <f t="shared" ca="1" si="30"/>
        <v>John Dela Cruz</v>
      </c>
      <c r="M103" t="str">
        <f t="shared" ca="1" si="31"/>
        <v>Corporation</v>
      </c>
      <c r="N103" t="str">
        <f t="shared" ca="1" si="32"/>
        <v>Installment</v>
      </c>
      <c r="O103" s="1">
        <f t="shared" ca="1" si="33"/>
        <v>250</v>
      </c>
      <c r="P103" s="2">
        <f t="shared" ca="1" si="34"/>
        <v>382987.32</v>
      </c>
      <c r="Q103" s="2">
        <f t="shared" ca="1" si="35"/>
        <v>7889897</v>
      </c>
      <c r="R103" s="3">
        <f t="shared" ca="1" si="36"/>
        <v>60791.638095238093</v>
      </c>
      <c r="S103">
        <f t="shared" ca="1" si="37"/>
        <v>210</v>
      </c>
      <c r="T103" s="2">
        <f t="shared" ca="1" si="38"/>
        <v>4876345.3820066536</v>
      </c>
      <c r="U103" s="17">
        <f t="shared" si="41"/>
        <v>2023</v>
      </c>
      <c r="V103" s="20" t="str">
        <f t="shared" si="39"/>
        <v>Jun-2023</v>
      </c>
    </row>
    <row r="104" spans="1:22" x14ac:dyDescent="0.3">
      <c r="A104" t="str">
        <f t="shared" si="40"/>
        <v>TX-00104</v>
      </c>
      <c r="B104" s="6">
        <v>44863</v>
      </c>
      <c r="C104" t="str">
        <f t="shared" ca="1" si="23"/>
        <v>Land</v>
      </c>
      <c r="D104" s="1" t="str">
        <f t="shared" ca="1" si="24"/>
        <v>Laguna</v>
      </c>
      <c r="E104" s="1">
        <f t="shared" ca="1" si="43"/>
        <v>3</v>
      </c>
      <c r="F104" s="1">
        <f t="shared" ca="1" si="43"/>
        <v>4</v>
      </c>
      <c r="G104">
        <f t="shared" ca="1" si="25"/>
        <v>174</v>
      </c>
      <c r="H104">
        <f t="shared" ca="1" si="26"/>
        <v>140</v>
      </c>
      <c r="I104">
        <f t="shared" ca="1" si="27"/>
        <v>2013</v>
      </c>
      <c r="J104" s="2">
        <f t="shared" ca="1" si="28"/>
        <v>2511779</v>
      </c>
      <c r="K104" s="4">
        <f t="shared" ca="1" si="29"/>
        <v>3661847</v>
      </c>
      <c r="L104" t="str">
        <f t="shared" ca="1" si="30"/>
        <v>Joy Ramos</v>
      </c>
      <c r="M104" t="str">
        <f t="shared" ca="1" si="31"/>
        <v>Corporation</v>
      </c>
      <c r="N104" t="str">
        <f t="shared" ca="1" si="32"/>
        <v>Bank Loan</v>
      </c>
      <c r="O104" s="1">
        <f t="shared" ca="1" si="33"/>
        <v>114</v>
      </c>
      <c r="P104" s="2">
        <f t="shared" ca="1" si="34"/>
        <v>109855.40999999999</v>
      </c>
      <c r="Q104" s="2">
        <f t="shared" ca="1" si="35"/>
        <v>1150068</v>
      </c>
      <c r="R104" s="3">
        <f t="shared" ca="1" si="36"/>
        <v>26156.05</v>
      </c>
      <c r="S104">
        <f t="shared" ca="1" si="37"/>
        <v>140</v>
      </c>
      <c r="T104" s="2">
        <f t="shared" ca="1" si="38"/>
        <v>2511778.5421300996</v>
      </c>
      <c r="U104" s="17">
        <f t="shared" si="41"/>
        <v>2022</v>
      </c>
      <c r="V104" s="20" t="str">
        <f t="shared" si="39"/>
        <v>Oct-2022</v>
      </c>
    </row>
    <row r="105" spans="1:22" x14ac:dyDescent="0.3">
      <c r="A105" t="str">
        <f t="shared" si="40"/>
        <v>TX-00105</v>
      </c>
      <c r="B105" s="6">
        <v>44377</v>
      </c>
      <c r="C105" t="str">
        <f t="shared" ca="1" si="23"/>
        <v>Land</v>
      </c>
      <c r="D105" s="1" t="str">
        <f t="shared" ca="1" si="24"/>
        <v>Laguna</v>
      </c>
      <c r="E105" s="1">
        <f t="shared" ca="1" si="43"/>
        <v>1</v>
      </c>
      <c r="F105" s="1">
        <f t="shared" ca="1" si="43"/>
        <v>1</v>
      </c>
      <c r="G105">
        <f t="shared" ca="1" si="25"/>
        <v>64</v>
      </c>
      <c r="H105">
        <f t="shared" ca="1" si="26"/>
        <v>121</v>
      </c>
      <c r="I105">
        <f t="shared" ca="1" si="27"/>
        <v>2018</v>
      </c>
      <c r="J105" s="2">
        <f t="shared" ca="1" si="28"/>
        <v>8815531</v>
      </c>
      <c r="K105" s="4">
        <f t="shared" ca="1" si="29"/>
        <v>6003894</v>
      </c>
      <c r="L105" t="str">
        <f t="shared" ca="1" si="30"/>
        <v>Joy Ramos</v>
      </c>
      <c r="M105" t="str">
        <f t="shared" ca="1" si="31"/>
        <v>Individual</v>
      </c>
      <c r="N105" t="str">
        <f t="shared" ca="1" si="32"/>
        <v>Bank Loan</v>
      </c>
      <c r="O105" s="1">
        <f t="shared" ca="1" si="33"/>
        <v>315</v>
      </c>
      <c r="P105" s="2">
        <f t="shared" ca="1" si="34"/>
        <v>180116.82</v>
      </c>
      <c r="Q105" s="2">
        <f t="shared" ca="1" si="35"/>
        <v>-2811637</v>
      </c>
      <c r="R105" s="3">
        <f t="shared" ca="1" si="36"/>
        <v>49618.958677685951</v>
      </c>
      <c r="S105">
        <f t="shared" ca="1" si="37"/>
        <v>121</v>
      </c>
      <c r="T105" s="2">
        <f t="shared" ca="1" si="38"/>
        <v>8815531.31894131</v>
      </c>
      <c r="U105" s="17">
        <f t="shared" si="41"/>
        <v>2021</v>
      </c>
      <c r="V105" s="20" t="str">
        <f t="shared" si="39"/>
        <v>Jun-2021</v>
      </c>
    </row>
    <row r="106" spans="1:22" x14ac:dyDescent="0.3">
      <c r="A106" t="str">
        <f t="shared" si="40"/>
        <v>TX-00106</v>
      </c>
      <c r="B106" s="6">
        <v>45028</v>
      </c>
      <c r="C106" t="str">
        <f t="shared" ca="1" si="23"/>
        <v>Condo</v>
      </c>
      <c r="D106" s="1" t="str">
        <f t="shared" ca="1" si="24"/>
        <v>Cavite</v>
      </c>
      <c r="E106" s="1">
        <f t="shared" ca="1" si="43"/>
        <v>1</v>
      </c>
      <c r="F106" s="1">
        <f t="shared" ca="1" si="43"/>
        <v>3</v>
      </c>
      <c r="G106">
        <f t="shared" ca="1" si="25"/>
        <v>116</v>
      </c>
      <c r="H106">
        <f t="shared" ca="1" si="26"/>
        <v>64</v>
      </c>
      <c r="I106">
        <f t="shared" ca="1" si="27"/>
        <v>2011</v>
      </c>
      <c r="J106" s="2">
        <f t="shared" ca="1" si="28"/>
        <v>9090133</v>
      </c>
      <c r="K106" s="4">
        <f t="shared" ca="1" si="29"/>
        <v>3927268</v>
      </c>
      <c r="L106" t="str">
        <f t="shared" ca="1" si="30"/>
        <v>Joy Ramos</v>
      </c>
      <c r="M106" t="str">
        <f t="shared" ca="1" si="31"/>
        <v>OFW</v>
      </c>
      <c r="N106" t="str">
        <f t="shared" ca="1" si="32"/>
        <v>Bank Loan</v>
      </c>
      <c r="O106" s="1">
        <f t="shared" ca="1" si="33"/>
        <v>372</v>
      </c>
      <c r="P106" s="2">
        <f t="shared" ca="1" si="34"/>
        <v>117818.04</v>
      </c>
      <c r="Q106" s="2">
        <f t="shared" ca="1" si="35"/>
        <v>-5162865</v>
      </c>
      <c r="R106" s="3">
        <f t="shared" ca="1" si="36"/>
        <v>33855.758620689652</v>
      </c>
      <c r="S106">
        <f t="shared" ca="1" si="37"/>
        <v>116</v>
      </c>
      <c r="T106" s="2">
        <f t="shared" ca="1" si="38"/>
        <v>9090133.5679636374</v>
      </c>
      <c r="U106" s="17">
        <f t="shared" si="41"/>
        <v>2023</v>
      </c>
      <c r="V106" s="20" t="str">
        <f t="shared" si="39"/>
        <v>Apr-2023</v>
      </c>
    </row>
    <row r="107" spans="1:22" x14ac:dyDescent="0.3">
      <c r="A107" t="str">
        <f t="shared" si="40"/>
        <v>TX-00107</v>
      </c>
      <c r="B107" s="6">
        <v>43618</v>
      </c>
      <c r="C107" t="str">
        <f t="shared" ca="1" si="23"/>
        <v>House &amp; Lot</v>
      </c>
      <c r="D107" s="1" t="str">
        <f t="shared" ca="1" si="24"/>
        <v>Makati</v>
      </c>
      <c r="E107" s="1">
        <f t="shared" ca="1" si="43"/>
        <v>4</v>
      </c>
      <c r="F107" s="1">
        <f t="shared" ca="1" si="43"/>
        <v>1</v>
      </c>
      <c r="G107">
        <f t="shared" ca="1" si="25"/>
        <v>111</v>
      </c>
      <c r="H107">
        <f t="shared" ca="1" si="26"/>
        <v>174</v>
      </c>
      <c r="I107">
        <f t="shared" ca="1" si="27"/>
        <v>2022</v>
      </c>
      <c r="J107" s="2">
        <f t="shared" ca="1" si="28"/>
        <v>14880227</v>
      </c>
      <c r="K107" s="4">
        <f t="shared" ca="1" si="29"/>
        <v>11481283</v>
      </c>
      <c r="L107" t="str">
        <f t="shared" ca="1" si="30"/>
        <v>Anna Mendoza</v>
      </c>
      <c r="M107" t="str">
        <f t="shared" ca="1" si="31"/>
        <v>OFW</v>
      </c>
      <c r="N107" t="str">
        <f t="shared" ca="1" si="32"/>
        <v>Pag-IBIG Loan</v>
      </c>
      <c r="O107" s="1">
        <f t="shared" ca="1" si="33"/>
        <v>167</v>
      </c>
      <c r="P107" s="2">
        <f t="shared" ca="1" si="34"/>
        <v>344438.49</v>
      </c>
      <c r="Q107" s="2">
        <f t="shared" ca="1" si="35"/>
        <v>-3398944</v>
      </c>
      <c r="R107" s="3">
        <f t="shared" ca="1" si="36"/>
        <v>65984.385057471271</v>
      </c>
      <c r="S107">
        <f t="shared" ca="1" si="37"/>
        <v>174</v>
      </c>
      <c r="T107" s="2">
        <f t="shared" ca="1" si="38"/>
        <v>14880227.228420172</v>
      </c>
      <c r="U107" s="17">
        <f t="shared" si="41"/>
        <v>2019</v>
      </c>
      <c r="V107" s="20" t="str">
        <f t="shared" si="39"/>
        <v>Jun-2019</v>
      </c>
    </row>
    <row r="108" spans="1:22" x14ac:dyDescent="0.3">
      <c r="A108" t="str">
        <f t="shared" si="40"/>
        <v>TX-00108</v>
      </c>
      <c r="B108" s="6">
        <v>44847</v>
      </c>
      <c r="C108" t="str">
        <f t="shared" ca="1" si="23"/>
        <v>Commercial</v>
      </c>
      <c r="D108" s="1" t="str">
        <f t="shared" ca="1" si="24"/>
        <v>Cavite</v>
      </c>
      <c r="E108" s="1">
        <f t="shared" ca="1" si="43"/>
        <v>1</v>
      </c>
      <c r="F108" s="1">
        <f t="shared" ca="1" si="43"/>
        <v>1</v>
      </c>
      <c r="G108">
        <f t="shared" ca="1" si="25"/>
        <v>141</v>
      </c>
      <c r="H108">
        <f t="shared" ca="1" si="26"/>
        <v>141</v>
      </c>
      <c r="I108">
        <f t="shared" ca="1" si="27"/>
        <v>2016</v>
      </c>
      <c r="J108" s="2">
        <f t="shared" ca="1" si="28"/>
        <v>14182770</v>
      </c>
      <c r="K108" s="4">
        <f t="shared" ca="1" si="29"/>
        <v>3537118</v>
      </c>
      <c r="L108" t="str">
        <f t="shared" ca="1" si="30"/>
        <v>Mary Garcia</v>
      </c>
      <c r="M108" t="str">
        <f t="shared" ca="1" si="31"/>
        <v>Corporation</v>
      </c>
      <c r="N108" t="str">
        <f t="shared" ca="1" si="32"/>
        <v>Cash</v>
      </c>
      <c r="O108" s="1">
        <f t="shared" ca="1" si="33"/>
        <v>303</v>
      </c>
      <c r="P108" s="2">
        <f t="shared" ca="1" si="34"/>
        <v>106113.54</v>
      </c>
      <c r="Q108" s="2">
        <f t="shared" ca="1" si="35"/>
        <v>-10645652</v>
      </c>
      <c r="R108" s="3">
        <f t="shared" ca="1" si="36"/>
        <v>25085.943262411347</v>
      </c>
      <c r="S108">
        <f t="shared" ca="1" si="37"/>
        <v>141</v>
      </c>
      <c r="T108" s="2">
        <f t="shared" ca="1" si="38"/>
        <v>14182770.750604572</v>
      </c>
      <c r="U108" s="17">
        <f t="shared" si="41"/>
        <v>2022</v>
      </c>
      <c r="V108" s="20" t="str">
        <f t="shared" si="39"/>
        <v>Oct-2022</v>
      </c>
    </row>
    <row r="109" spans="1:22" x14ac:dyDescent="0.3">
      <c r="A109" t="str">
        <f t="shared" si="40"/>
        <v>TX-00109</v>
      </c>
      <c r="B109" s="6">
        <v>45973</v>
      </c>
      <c r="C109" t="str">
        <f t="shared" ca="1" si="23"/>
        <v>House &amp; Lot</v>
      </c>
      <c r="D109" s="1" t="str">
        <f t="shared" ca="1" si="24"/>
        <v>Laguna</v>
      </c>
      <c r="E109" s="1">
        <f t="shared" ca="1" si="43"/>
        <v>4</v>
      </c>
      <c r="F109" s="1">
        <f t="shared" ca="1" si="43"/>
        <v>3</v>
      </c>
      <c r="G109">
        <f t="shared" ca="1" si="25"/>
        <v>54</v>
      </c>
      <c r="H109">
        <f t="shared" ca="1" si="26"/>
        <v>220</v>
      </c>
      <c r="I109">
        <f t="shared" ca="1" si="27"/>
        <v>2022</v>
      </c>
      <c r="J109" s="2">
        <f t="shared" ca="1" si="28"/>
        <v>5174599</v>
      </c>
      <c r="K109" s="4">
        <f t="shared" ca="1" si="29"/>
        <v>7304901</v>
      </c>
      <c r="L109" t="str">
        <f t="shared" ca="1" si="30"/>
        <v>Mark Reyes</v>
      </c>
      <c r="M109" t="str">
        <f t="shared" ca="1" si="31"/>
        <v>Investor</v>
      </c>
      <c r="N109" t="str">
        <f t="shared" ca="1" si="32"/>
        <v>Pag-IBIG Loan</v>
      </c>
      <c r="O109" s="1">
        <f t="shared" ca="1" si="33"/>
        <v>279</v>
      </c>
      <c r="P109" s="2">
        <f t="shared" ca="1" si="34"/>
        <v>219147.03</v>
      </c>
      <c r="Q109" s="2">
        <f t="shared" ca="1" si="35"/>
        <v>2130302</v>
      </c>
      <c r="R109" s="3">
        <f t="shared" ca="1" si="36"/>
        <v>33204.095454545452</v>
      </c>
      <c r="S109">
        <f t="shared" ca="1" si="37"/>
        <v>220</v>
      </c>
      <c r="T109" s="2">
        <f t="shared" ca="1" si="38"/>
        <v>5174598.5883155391</v>
      </c>
      <c r="U109" s="17">
        <f t="shared" si="41"/>
        <v>2025</v>
      </c>
      <c r="V109" s="20" t="str">
        <f t="shared" si="39"/>
        <v>Nov-2025</v>
      </c>
    </row>
    <row r="110" spans="1:22" x14ac:dyDescent="0.3">
      <c r="A110" t="str">
        <f t="shared" si="40"/>
        <v>TX-00110</v>
      </c>
      <c r="B110" s="6">
        <v>44263</v>
      </c>
      <c r="C110" t="str">
        <f t="shared" ca="1" si="23"/>
        <v>Condo</v>
      </c>
      <c r="D110" s="1" t="str">
        <f t="shared" ca="1" si="24"/>
        <v>Laguna</v>
      </c>
      <c r="E110" s="1">
        <f t="shared" ca="1" si="43"/>
        <v>2</v>
      </c>
      <c r="F110" s="1">
        <f t="shared" ca="1" si="43"/>
        <v>3</v>
      </c>
      <c r="G110">
        <f t="shared" ca="1" si="25"/>
        <v>102</v>
      </c>
      <c r="H110">
        <f t="shared" ca="1" si="26"/>
        <v>171</v>
      </c>
      <c r="I110">
        <f t="shared" ca="1" si="27"/>
        <v>2021</v>
      </c>
      <c r="J110" s="2">
        <f t="shared" ca="1" si="28"/>
        <v>2370269</v>
      </c>
      <c r="K110" s="4">
        <f t="shared" ca="1" si="29"/>
        <v>11495948</v>
      </c>
      <c r="L110" t="str">
        <f t="shared" ca="1" si="30"/>
        <v>Joy Ramos</v>
      </c>
      <c r="M110" t="str">
        <f t="shared" ca="1" si="31"/>
        <v>Investor</v>
      </c>
      <c r="N110" t="str">
        <f t="shared" ca="1" si="32"/>
        <v>Bank Loan</v>
      </c>
      <c r="O110" s="1">
        <f t="shared" ca="1" si="33"/>
        <v>118</v>
      </c>
      <c r="P110" s="2">
        <f t="shared" ca="1" si="34"/>
        <v>344878.44</v>
      </c>
      <c r="Q110" s="2">
        <f t="shared" ca="1" si="35"/>
        <v>9125679</v>
      </c>
      <c r="R110" s="3">
        <f t="shared" ca="1" si="36"/>
        <v>112705.37254901961</v>
      </c>
      <c r="S110">
        <f t="shared" ca="1" si="37"/>
        <v>102</v>
      </c>
      <c r="T110" s="2">
        <f t="shared" ca="1" si="38"/>
        <v>2370265.1499395217</v>
      </c>
      <c r="U110" s="17">
        <f t="shared" si="41"/>
        <v>2021</v>
      </c>
      <c r="V110" s="20" t="str">
        <f t="shared" si="39"/>
        <v>Mar-2021</v>
      </c>
    </row>
    <row r="111" spans="1:22" x14ac:dyDescent="0.3">
      <c r="A111" t="str">
        <f t="shared" si="40"/>
        <v>TX-00111</v>
      </c>
      <c r="B111" s="6">
        <v>44504</v>
      </c>
      <c r="C111" t="str">
        <f t="shared" ca="1" si="23"/>
        <v>Commercial</v>
      </c>
      <c r="D111" s="1" t="str">
        <f t="shared" ca="1" si="24"/>
        <v>Bulacan</v>
      </c>
      <c r="E111" s="1">
        <f t="shared" ca="1" si="43"/>
        <v>3</v>
      </c>
      <c r="F111" s="1">
        <f t="shared" ca="1" si="43"/>
        <v>4</v>
      </c>
      <c r="G111">
        <f t="shared" ca="1" si="25"/>
        <v>125</v>
      </c>
      <c r="H111">
        <f t="shared" ca="1" si="26"/>
        <v>201</v>
      </c>
      <c r="I111">
        <f t="shared" ca="1" si="27"/>
        <v>2015</v>
      </c>
      <c r="J111" s="2">
        <f t="shared" ca="1" si="28"/>
        <v>8835336</v>
      </c>
      <c r="K111" s="4">
        <f t="shared" ca="1" si="29"/>
        <v>9507477</v>
      </c>
      <c r="L111" t="str">
        <f t="shared" ca="1" si="30"/>
        <v>Michael Santos</v>
      </c>
      <c r="M111" t="str">
        <f t="shared" ca="1" si="31"/>
        <v>Corporation</v>
      </c>
      <c r="N111" t="str">
        <f t="shared" ca="1" si="32"/>
        <v>Bank Loan</v>
      </c>
      <c r="O111" s="1">
        <f t="shared" ca="1" si="33"/>
        <v>247</v>
      </c>
      <c r="P111" s="2">
        <f t="shared" ca="1" si="34"/>
        <v>285224.31</v>
      </c>
      <c r="Q111" s="2">
        <f t="shared" ca="1" si="35"/>
        <v>672141</v>
      </c>
      <c r="R111" s="3">
        <f t="shared" ca="1" si="36"/>
        <v>47300.880597014926</v>
      </c>
      <c r="S111">
        <f t="shared" ca="1" si="37"/>
        <v>201</v>
      </c>
      <c r="T111" s="2">
        <f t="shared" ca="1" si="38"/>
        <v>8835335.9239258133</v>
      </c>
      <c r="U111" s="17">
        <f t="shared" si="41"/>
        <v>2021</v>
      </c>
      <c r="V111" s="20" t="str">
        <f t="shared" si="39"/>
        <v>Nov-2021</v>
      </c>
    </row>
    <row r="112" spans="1:22" x14ac:dyDescent="0.3">
      <c r="A112" t="str">
        <f t="shared" si="40"/>
        <v>TX-00112</v>
      </c>
      <c r="B112" s="6">
        <v>45051</v>
      </c>
      <c r="C112" t="str">
        <f t="shared" ca="1" si="23"/>
        <v>Commercial</v>
      </c>
      <c r="D112" s="1" t="str">
        <f t="shared" ca="1" si="24"/>
        <v>Cavite</v>
      </c>
      <c r="E112" s="1">
        <f t="shared" ca="1" si="43"/>
        <v>3</v>
      </c>
      <c r="F112" s="1">
        <f t="shared" ca="1" si="43"/>
        <v>3</v>
      </c>
      <c r="G112">
        <f t="shared" ca="1" si="25"/>
        <v>160</v>
      </c>
      <c r="H112">
        <f t="shared" ca="1" si="26"/>
        <v>128</v>
      </c>
      <c r="I112">
        <f t="shared" ca="1" si="27"/>
        <v>2014</v>
      </c>
      <c r="J112" s="2">
        <f t="shared" ca="1" si="28"/>
        <v>11433522</v>
      </c>
      <c r="K112" s="4">
        <f t="shared" ca="1" si="29"/>
        <v>4261373</v>
      </c>
      <c r="L112" t="str">
        <f t="shared" ca="1" si="30"/>
        <v>Michael Santos</v>
      </c>
      <c r="M112" t="str">
        <f t="shared" ca="1" si="31"/>
        <v>Corporation</v>
      </c>
      <c r="N112" t="str">
        <f t="shared" ca="1" si="32"/>
        <v>Cash</v>
      </c>
      <c r="O112" s="1">
        <f t="shared" ca="1" si="33"/>
        <v>357</v>
      </c>
      <c r="P112" s="2">
        <f t="shared" ca="1" si="34"/>
        <v>127841.19</v>
      </c>
      <c r="Q112" s="2">
        <f t="shared" ca="1" si="35"/>
        <v>-7172149</v>
      </c>
      <c r="R112" s="3">
        <f t="shared" ca="1" si="36"/>
        <v>33291.9765625</v>
      </c>
      <c r="S112">
        <f t="shared" ca="1" si="37"/>
        <v>128</v>
      </c>
      <c r="T112" s="2">
        <f t="shared" ca="1" si="38"/>
        <v>11433522.627291311</v>
      </c>
      <c r="U112" s="17">
        <f t="shared" si="41"/>
        <v>2023</v>
      </c>
      <c r="V112" s="20" t="str">
        <f t="shared" si="39"/>
        <v>May-2023</v>
      </c>
    </row>
    <row r="113" spans="1:22" x14ac:dyDescent="0.3">
      <c r="A113" t="str">
        <f t="shared" si="40"/>
        <v>TX-00113</v>
      </c>
      <c r="B113" s="6">
        <v>44379</v>
      </c>
      <c r="C113" t="str">
        <f t="shared" ca="1" si="23"/>
        <v>House &amp; Lot</v>
      </c>
      <c r="D113" s="1" t="str">
        <f t="shared" ca="1" si="24"/>
        <v>Bulacan</v>
      </c>
      <c r="E113" s="1">
        <f t="shared" ca="1" si="43"/>
        <v>1</v>
      </c>
      <c r="F113" s="1">
        <f t="shared" ca="1" si="43"/>
        <v>2</v>
      </c>
      <c r="G113">
        <f t="shared" ca="1" si="25"/>
        <v>46</v>
      </c>
      <c r="H113">
        <f t="shared" ca="1" si="26"/>
        <v>119</v>
      </c>
      <c r="I113">
        <f t="shared" ca="1" si="27"/>
        <v>2019</v>
      </c>
      <c r="J113" s="2">
        <f t="shared" ca="1" si="28"/>
        <v>8597396</v>
      </c>
      <c r="K113" s="4">
        <f t="shared" ca="1" si="29"/>
        <v>4142203</v>
      </c>
      <c r="L113" t="str">
        <f t="shared" ca="1" si="30"/>
        <v>Mark Reyes</v>
      </c>
      <c r="M113" t="str">
        <f t="shared" ca="1" si="31"/>
        <v>Individual</v>
      </c>
      <c r="N113" t="str">
        <f t="shared" ca="1" si="32"/>
        <v>Pag-IBIG Loan</v>
      </c>
      <c r="O113" s="1">
        <f t="shared" ca="1" si="33"/>
        <v>150</v>
      </c>
      <c r="P113" s="2">
        <f t="shared" ca="1" si="34"/>
        <v>124266.09</v>
      </c>
      <c r="Q113" s="2">
        <f t="shared" ca="1" si="35"/>
        <v>-4455193</v>
      </c>
      <c r="R113" s="3">
        <f t="shared" ca="1" si="36"/>
        <v>34808.428571428572</v>
      </c>
      <c r="S113">
        <f t="shared" ca="1" si="37"/>
        <v>119</v>
      </c>
      <c r="T113" s="2">
        <f t="shared" ca="1" si="38"/>
        <v>8597396.5182026047</v>
      </c>
      <c r="U113" s="17">
        <f t="shared" si="41"/>
        <v>2021</v>
      </c>
      <c r="V113" s="20" t="str">
        <f t="shared" si="39"/>
        <v>Jul-2021</v>
      </c>
    </row>
    <row r="114" spans="1:22" x14ac:dyDescent="0.3">
      <c r="A114" t="str">
        <f t="shared" si="40"/>
        <v>TX-00114</v>
      </c>
      <c r="B114" s="6">
        <v>43533</v>
      </c>
      <c r="C114" t="str">
        <f t="shared" ca="1" si="23"/>
        <v>Commercial</v>
      </c>
      <c r="D114" s="1" t="str">
        <f t="shared" ca="1" si="24"/>
        <v>Makati</v>
      </c>
      <c r="E114" s="1">
        <f t="shared" ca="1" si="43"/>
        <v>4</v>
      </c>
      <c r="F114" s="1">
        <f t="shared" ca="1" si="43"/>
        <v>4</v>
      </c>
      <c r="G114">
        <f t="shared" ca="1" si="25"/>
        <v>84</v>
      </c>
      <c r="H114">
        <f t="shared" ca="1" si="26"/>
        <v>243</v>
      </c>
      <c r="I114">
        <f t="shared" ca="1" si="27"/>
        <v>2015</v>
      </c>
      <c r="J114" s="2">
        <f t="shared" ca="1" si="28"/>
        <v>4202853</v>
      </c>
      <c r="K114" s="4">
        <f t="shared" ca="1" si="29"/>
        <v>11407713</v>
      </c>
      <c r="L114" t="str">
        <f t="shared" ca="1" si="30"/>
        <v>Michael Santos</v>
      </c>
      <c r="M114" t="str">
        <f t="shared" ca="1" si="31"/>
        <v>OFW</v>
      </c>
      <c r="N114" t="str">
        <f t="shared" ca="1" si="32"/>
        <v>Installment</v>
      </c>
      <c r="O114" s="1">
        <f t="shared" ca="1" si="33"/>
        <v>102</v>
      </c>
      <c r="P114" s="2">
        <f t="shared" ca="1" si="34"/>
        <v>342231.39</v>
      </c>
      <c r="Q114" s="2">
        <f t="shared" ca="1" si="35"/>
        <v>7204860</v>
      </c>
      <c r="R114" s="3">
        <f t="shared" ca="1" si="36"/>
        <v>46945.320987654319</v>
      </c>
      <c r="S114">
        <f t="shared" ca="1" si="37"/>
        <v>243</v>
      </c>
      <c r="T114" s="2">
        <f t="shared" ca="1" si="38"/>
        <v>4202851.285721628</v>
      </c>
      <c r="U114" s="17">
        <f t="shared" si="41"/>
        <v>2019</v>
      </c>
      <c r="V114" s="20" t="str">
        <f t="shared" si="39"/>
        <v>Mar-2019</v>
      </c>
    </row>
    <row r="115" spans="1:22" x14ac:dyDescent="0.3">
      <c r="A115" t="str">
        <f t="shared" si="40"/>
        <v>TX-00115</v>
      </c>
      <c r="B115" s="6">
        <v>43701</v>
      </c>
      <c r="C115" t="str">
        <f t="shared" ca="1" si="23"/>
        <v>Land</v>
      </c>
      <c r="D115" s="1" t="str">
        <f t="shared" ca="1" si="24"/>
        <v>Cavite</v>
      </c>
      <c r="E115" s="1">
        <f t="shared" ca="1" si="43"/>
        <v>1</v>
      </c>
      <c r="F115" s="1">
        <f t="shared" ca="1" si="43"/>
        <v>1</v>
      </c>
      <c r="G115">
        <f t="shared" ca="1" si="25"/>
        <v>46</v>
      </c>
      <c r="H115">
        <f t="shared" ca="1" si="26"/>
        <v>161</v>
      </c>
      <c r="I115">
        <f t="shared" ca="1" si="27"/>
        <v>2017</v>
      </c>
      <c r="J115" s="2">
        <f t="shared" ca="1" si="28"/>
        <v>13595554</v>
      </c>
      <c r="K115" s="4">
        <f t="shared" ca="1" si="29"/>
        <v>11818032</v>
      </c>
      <c r="L115" t="str">
        <f t="shared" ca="1" si="30"/>
        <v>Michelle Flores</v>
      </c>
      <c r="M115" t="str">
        <f t="shared" ca="1" si="31"/>
        <v>Corporation</v>
      </c>
      <c r="N115" t="str">
        <f t="shared" ca="1" si="32"/>
        <v>Cash</v>
      </c>
      <c r="O115" s="1">
        <f t="shared" ca="1" si="33"/>
        <v>256</v>
      </c>
      <c r="P115" s="2">
        <f t="shared" ca="1" si="34"/>
        <v>354540.95999999996</v>
      </c>
      <c r="Q115" s="2">
        <f t="shared" ca="1" si="35"/>
        <v>-1777522</v>
      </c>
      <c r="R115" s="3">
        <f t="shared" ca="1" si="36"/>
        <v>73403.925465838503</v>
      </c>
      <c r="S115">
        <f t="shared" ca="1" si="37"/>
        <v>161</v>
      </c>
      <c r="T115" s="2">
        <f t="shared" ca="1" si="38"/>
        <v>13595554.130742889</v>
      </c>
      <c r="U115" s="17">
        <f t="shared" si="41"/>
        <v>2019</v>
      </c>
      <c r="V115" s="20" t="str">
        <f t="shared" si="39"/>
        <v>Aug-2019</v>
      </c>
    </row>
    <row r="116" spans="1:22" x14ac:dyDescent="0.3">
      <c r="A116" t="str">
        <f t="shared" si="40"/>
        <v>TX-00116</v>
      </c>
      <c r="B116" s="6">
        <v>45697</v>
      </c>
      <c r="C116" t="str">
        <f t="shared" ca="1" si="23"/>
        <v>Land</v>
      </c>
      <c r="D116" s="1" t="str">
        <f t="shared" ca="1" si="24"/>
        <v>Makati</v>
      </c>
      <c r="E116" s="1">
        <f t="shared" ca="1" si="43"/>
        <v>1</v>
      </c>
      <c r="F116" s="1">
        <f t="shared" ca="1" si="43"/>
        <v>4</v>
      </c>
      <c r="G116">
        <f t="shared" ca="1" si="25"/>
        <v>52</v>
      </c>
      <c r="H116">
        <f t="shared" ca="1" si="26"/>
        <v>124</v>
      </c>
      <c r="I116">
        <f t="shared" ca="1" si="27"/>
        <v>2020</v>
      </c>
      <c r="J116" s="2">
        <f t="shared" ca="1" si="28"/>
        <v>7246619</v>
      </c>
      <c r="K116" s="4">
        <f t="shared" ca="1" si="29"/>
        <v>6521544</v>
      </c>
      <c r="L116" t="str">
        <f t="shared" ca="1" si="30"/>
        <v>Joy Ramos</v>
      </c>
      <c r="M116" t="str">
        <f t="shared" ca="1" si="31"/>
        <v>Corporation</v>
      </c>
      <c r="N116" t="str">
        <f t="shared" ca="1" si="32"/>
        <v>Bank Loan</v>
      </c>
      <c r="O116" s="1">
        <f t="shared" ca="1" si="33"/>
        <v>337</v>
      </c>
      <c r="P116" s="2">
        <f t="shared" ca="1" si="34"/>
        <v>195646.32</v>
      </c>
      <c r="Q116" s="2">
        <f t="shared" ca="1" si="35"/>
        <v>-725075</v>
      </c>
      <c r="R116" s="3">
        <f t="shared" ca="1" si="36"/>
        <v>52593.096774193546</v>
      </c>
      <c r="S116">
        <f t="shared" ca="1" si="37"/>
        <v>124</v>
      </c>
      <c r="T116" s="2">
        <f t="shared" ca="1" si="38"/>
        <v>7246619.1000570059</v>
      </c>
      <c r="U116" s="17">
        <f t="shared" si="41"/>
        <v>2025</v>
      </c>
      <c r="V116" s="20" t="str">
        <f t="shared" si="39"/>
        <v>Feb-2025</v>
      </c>
    </row>
    <row r="117" spans="1:22" x14ac:dyDescent="0.3">
      <c r="A117" t="str">
        <f t="shared" si="40"/>
        <v>TX-00117</v>
      </c>
      <c r="B117" s="6">
        <v>44244</v>
      </c>
      <c r="C117" t="str">
        <f t="shared" ca="1" si="23"/>
        <v>Condo</v>
      </c>
      <c r="D117" s="1" t="str">
        <f t="shared" ca="1" si="24"/>
        <v>Cavite</v>
      </c>
      <c r="E117" s="1">
        <f t="shared" ca="1" si="43"/>
        <v>3</v>
      </c>
      <c r="F117" s="1">
        <f t="shared" ca="1" si="43"/>
        <v>3</v>
      </c>
      <c r="G117">
        <f t="shared" ca="1" si="25"/>
        <v>150</v>
      </c>
      <c r="H117">
        <f t="shared" ca="1" si="26"/>
        <v>176</v>
      </c>
      <c r="I117">
        <f t="shared" ca="1" si="27"/>
        <v>2013</v>
      </c>
      <c r="J117" s="2">
        <f t="shared" ca="1" si="28"/>
        <v>13967917</v>
      </c>
      <c r="K117" s="4">
        <f t="shared" ca="1" si="29"/>
        <v>7204082</v>
      </c>
      <c r="L117" t="str">
        <f t="shared" ca="1" si="30"/>
        <v>Rachel Villanueva</v>
      </c>
      <c r="M117" t="str">
        <f t="shared" ca="1" si="31"/>
        <v>Individual</v>
      </c>
      <c r="N117" t="str">
        <f t="shared" ca="1" si="32"/>
        <v>Pag-IBIG Loan</v>
      </c>
      <c r="O117" s="1">
        <f t="shared" ca="1" si="33"/>
        <v>268</v>
      </c>
      <c r="P117" s="2">
        <f t="shared" ca="1" si="34"/>
        <v>216122.46</v>
      </c>
      <c r="Q117" s="2">
        <f t="shared" ca="1" si="35"/>
        <v>-6763835</v>
      </c>
      <c r="R117" s="3">
        <f t="shared" ca="1" si="36"/>
        <v>48027.213333333333</v>
      </c>
      <c r="S117">
        <f t="shared" ca="1" si="37"/>
        <v>150</v>
      </c>
      <c r="T117" s="2">
        <f t="shared" ca="1" si="38"/>
        <v>13967917.484240778</v>
      </c>
      <c r="U117" s="17">
        <f t="shared" si="41"/>
        <v>2021</v>
      </c>
      <c r="V117" s="20" t="str">
        <f t="shared" si="39"/>
        <v>Feb-2021</v>
      </c>
    </row>
    <row r="118" spans="1:22" x14ac:dyDescent="0.3">
      <c r="A118" t="str">
        <f t="shared" si="40"/>
        <v>TX-00118</v>
      </c>
      <c r="B118" s="6">
        <v>44091</v>
      </c>
      <c r="C118" t="str">
        <f t="shared" ca="1" si="23"/>
        <v>House &amp; Lot</v>
      </c>
      <c r="D118" s="1" t="str">
        <f t="shared" ca="1" si="24"/>
        <v>Cavite</v>
      </c>
      <c r="E118" s="1">
        <f t="shared" ca="1" si="43"/>
        <v>4</v>
      </c>
      <c r="F118" s="1">
        <f t="shared" ca="1" si="43"/>
        <v>3</v>
      </c>
      <c r="G118">
        <f t="shared" ca="1" si="25"/>
        <v>164</v>
      </c>
      <c r="H118">
        <f t="shared" ca="1" si="26"/>
        <v>142</v>
      </c>
      <c r="I118">
        <f t="shared" ca="1" si="27"/>
        <v>2023</v>
      </c>
      <c r="J118" s="2">
        <f t="shared" ca="1" si="28"/>
        <v>14331864</v>
      </c>
      <c r="K118" s="4">
        <f t="shared" ca="1" si="29"/>
        <v>12676044</v>
      </c>
      <c r="L118" t="str">
        <f t="shared" ca="1" si="30"/>
        <v>Daniel Cruz</v>
      </c>
      <c r="M118" t="str">
        <f t="shared" ca="1" si="31"/>
        <v>Corporation</v>
      </c>
      <c r="N118" t="str">
        <f t="shared" ca="1" si="32"/>
        <v>Pag-IBIG Loan</v>
      </c>
      <c r="O118" s="1">
        <f t="shared" ca="1" si="33"/>
        <v>160</v>
      </c>
      <c r="P118" s="2">
        <f t="shared" ca="1" si="34"/>
        <v>380281.32</v>
      </c>
      <c r="Q118" s="2">
        <f t="shared" ca="1" si="35"/>
        <v>-1655820</v>
      </c>
      <c r="R118" s="3">
        <f t="shared" ca="1" si="36"/>
        <v>89267.915492957749</v>
      </c>
      <c r="S118">
        <f t="shared" ca="1" si="37"/>
        <v>142</v>
      </c>
      <c r="T118" s="2">
        <f t="shared" ca="1" si="38"/>
        <v>14331864.11553417</v>
      </c>
      <c r="U118" s="17">
        <f t="shared" si="41"/>
        <v>2020</v>
      </c>
      <c r="V118" s="20" t="str">
        <f t="shared" si="39"/>
        <v>Sep-2020</v>
      </c>
    </row>
    <row r="119" spans="1:22" x14ac:dyDescent="0.3">
      <c r="A119" t="str">
        <f t="shared" si="40"/>
        <v>TX-00119</v>
      </c>
      <c r="B119" s="6">
        <v>45510</v>
      </c>
      <c r="C119" t="str">
        <f t="shared" ca="1" si="23"/>
        <v>House &amp; Lot</v>
      </c>
      <c r="D119" s="1" t="str">
        <f t="shared" ca="1" si="24"/>
        <v>Makati</v>
      </c>
      <c r="E119" s="1">
        <f t="shared" ca="1" si="43"/>
        <v>4</v>
      </c>
      <c r="F119" s="1">
        <f t="shared" ca="1" si="43"/>
        <v>1</v>
      </c>
      <c r="G119">
        <f t="shared" ca="1" si="25"/>
        <v>77</v>
      </c>
      <c r="H119">
        <f t="shared" ca="1" si="26"/>
        <v>219</v>
      </c>
      <c r="I119">
        <f t="shared" ca="1" si="27"/>
        <v>2019</v>
      </c>
      <c r="J119" s="2">
        <f t="shared" ca="1" si="28"/>
        <v>13017869</v>
      </c>
      <c r="K119" s="4">
        <f t="shared" ca="1" si="29"/>
        <v>3874890</v>
      </c>
      <c r="L119" t="str">
        <f t="shared" ca="1" si="30"/>
        <v>Joy Ramos</v>
      </c>
      <c r="M119" t="str">
        <f t="shared" ca="1" si="31"/>
        <v>Investor</v>
      </c>
      <c r="N119" t="str">
        <f t="shared" ca="1" si="32"/>
        <v>Bank Loan</v>
      </c>
      <c r="O119" s="1">
        <f t="shared" ca="1" si="33"/>
        <v>287</v>
      </c>
      <c r="P119" s="2">
        <f t="shared" ca="1" si="34"/>
        <v>116246.7</v>
      </c>
      <c r="Q119" s="2">
        <f t="shared" ca="1" si="35"/>
        <v>-9142979</v>
      </c>
      <c r="R119" s="3">
        <f t="shared" ca="1" si="36"/>
        <v>17693.561643835616</v>
      </c>
      <c r="S119">
        <f t="shared" ca="1" si="37"/>
        <v>219</v>
      </c>
      <c r="T119" s="2">
        <f t="shared" ca="1" si="38"/>
        <v>13017869.702340683</v>
      </c>
      <c r="U119" s="17">
        <f t="shared" si="41"/>
        <v>2024</v>
      </c>
      <c r="V119" s="20" t="str">
        <f t="shared" si="39"/>
        <v>Aug-2024</v>
      </c>
    </row>
    <row r="120" spans="1:22" x14ac:dyDescent="0.3">
      <c r="A120" t="str">
        <f t="shared" si="40"/>
        <v>TX-00120</v>
      </c>
      <c r="B120" s="6">
        <v>43719</v>
      </c>
      <c r="C120" t="str">
        <f t="shared" ca="1" si="23"/>
        <v>House &amp; Lot</v>
      </c>
      <c r="D120" s="1" t="str">
        <f t="shared" ca="1" si="24"/>
        <v>Laguna</v>
      </c>
      <c r="E120" s="1">
        <f t="shared" ca="1" si="43"/>
        <v>2</v>
      </c>
      <c r="F120" s="1">
        <f t="shared" ca="1" si="43"/>
        <v>1</v>
      </c>
      <c r="G120">
        <f t="shared" ca="1" si="25"/>
        <v>174</v>
      </c>
      <c r="H120">
        <f t="shared" ca="1" si="26"/>
        <v>156</v>
      </c>
      <c r="I120">
        <f t="shared" ca="1" si="27"/>
        <v>2012</v>
      </c>
      <c r="J120" s="2">
        <f t="shared" ca="1" si="28"/>
        <v>5681215</v>
      </c>
      <c r="K120" s="4">
        <f t="shared" ca="1" si="29"/>
        <v>6767003</v>
      </c>
      <c r="L120" t="str">
        <f t="shared" ca="1" si="30"/>
        <v>Rachel Villanueva</v>
      </c>
      <c r="M120" t="str">
        <f t="shared" ca="1" si="31"/>
        <v>Individual</v>
      </c>
      <c r="N120" t="str">
        <f t="shared" ca="1" si="32"/>
        <v>Bank Loan</v>
      </c>
      <c r="O120" s="1">
        <f t="shared" ca="1" si="33"/>
        <v>101</v>
      </c>
      <c r="P120" s="2">
        <f t="shared" ca="1" si="34"/>
        <v>203010.09</v>
      </c>
      <c r="Q120" s="2">
        <f t="shared" ca="1" si="35"/>
        <v>1085788</v>
      </c>
      <c r="R120" s="3">
        <f t="shared" ca="1" si="36"/>
        <v>43378.224358974359</v>
      </c>
      <c r="S120">
        <f t="shared" ca="1" si="37"/>
        <v>156</v>
      </c>
      <c r="T120" s="2">
        <f t="shared" ca="1" si="38"/>
        <v>5681214.808881023</v>
      </c>
      <c r="U120" s="17">
        <f t="shared" si="41"/>
        <v>2019</v>
      </c>
      <c r="V120" s="20" t="str">
        <f t="shared" si="39"/>
        <v>Sep-2019</v>
      </c>
    </row>
    <row r="121" spans="1:22" x14ac:dyDescent="0.3">
      <c r="A121" t="str">
        <f t="shared" si="40"/>
        <v>TX-00121</v>
      </c>
      <c r="B121" s="6">
        <v>43336</v>
      </c>
      <c r="C121" t="str">
        <f t="shared" ca="1" si="23"/>
        <v>House &amp; Lot</v>
      </c>
      <c r="D121" s="1" t="str">
        <f t="shared" ca="1" si="24"/>
        <v>Makati</v>
      </c>
      <c r="E121" s="1">
        <f t="shared" ca="1" si="43"/>
        <v>4</v>
      </c>
      <c r="F121" s="1">
        <f t="shared" ca="1" si="43"/>
        <v>2</v>
      </c>
      <c r="G121">
        <f t="shared" ca="1" si="25"/>
        <v>42</v>
      </c>
      <c r="H121">
        <f t="shared" ca="1" si="26"/>
        <v>128</v>
      </c>
      <c r="I121">
        <f t="shared" ca="1" si="27"/>
        <v>2010</v>
      </c>
      <c r="J121" s="2">
        <f t="shared" ca="1" si="28"/>
        <v>12590099</v>
      </c>
      <c r="K121" s="4">
        <f t="shared" ca="1" si="29"/>
        <v>9793000</v>
      </c>
      <c r="L121" t="str">
        <f t="shared" ca="1" si="30"/>
        <v>Mary Garcia</v>
      </c>
      <c r="M121" t="str">
        <f t="shared" ca="1" si="31"/>
        <v>Investor</v>
      </c>
      <c r="N121" t="str">
        <f t="shared" ca="1" si="32"/>
        <v>Bank Loan</v>
      </c>
      <c r="O121" s="1">
        <f t="shared" ca="1" si="33"/>
        <v>104</v>
      </c>
      <c r="P121" s="2">
        <f t="shared" ca="1" si="34"/>
        <v>293790</v>
      </c>
      <c r="Q121" s="2">
        <f t="shared" ca="1" si="35"/>
        <v>-2797099</v>
      </c>
      <c r="R121" s="3">
        <f t="shared" ca="1" si="36"/>
        <v>76507.8125</v>
      </c>
      <c r="S121">
        <f t="shared" ca="1" si="37"/>
        <v>128</v>
      </c>
      <c r="T121" s="2">
        <f t="shared" ca="1" si="38"/>
        <v>12590099.222166561</v>
      </c>
      <c r="U121" s="17">
        <f t="shared" si="41"/>
        <v>2018</v>
      </c>
      <c r="V121" s="20" t="str">
        <f t="shared" si="39"/>
        <v>Aug-2018</v>
      </c>
    </row>
    <row r="122" spans="1:22" x14ac:dyDescent="0.3">
      <c r="A122" t="str">
        <f t="shared" si="40"/>
        <v>TX-00122</v>
      </c>
      <c r="B122" s="6">
        <v>44774</v>
      </c>
      <c r="C122" t="str">
        <f t="shared" ca="1" si="23"/>
        <v>Condo</v>
      </c>
      <c r="D122" s="1" t="str">
        <f t="shared" ca="1" si="24"/>
        <v>Makati</v>
      </c>
      <c r="E122" s="1">
        <f t="shared" ref="E122:F141" ca="1" si="44">RANDBETWEEN(1,4)</f>
        <v>4</v>
      </c>
      <c r="F122" s="1">
        <f t="shared" ca="1" si="44"/>
        <v>2</v>
      </c>
      <c r="G122">
        <f t="shared" ca="1" si="25"/>
        <v>46</v>
      </c>
      <c r="H122">
        <f t="shared" ca="1" si="26"/>
        <v>132</v>
      </c>
      <c r="I122">
        <f t="shared" ca="1" si="27"/>
        <v>2012</v>
      </c>
      <c r="J122" s="2">
        <f t="shared" ca="1" si="28"/>
        <v>3352287</v>
      </c>
      <c r="K122" s="4">
        <f t="shared" ca="1" si="29"/>
        <v>8192723</v>
      </c>
      <c r="L122" t="str">
        <f t="shared" ca="1" si="30"/>
        <v>Joy Ramos</v>
      </c>
      <c r="M122" t="str">
        <f t="shared" ca="1" si="31"/>
        <v>OFW</v>
      </c>
      <c r="N122" t="str">
        <f t="shared" ca="1" si="32"/>
        <v>Cash</v>
      </c>
      <c r="O122" s="1">
        <f t="shared" ca="1" si="33"/>
        <v>163</v>
      </c>
      <c r="P122" s="2">
        <f t="shared" ca="1" si="34"/>
        <v>245781.69</v>
      </c>
      <c r="Q122" s="2">
        <f t="shared" ca="1" si="35"/>
        <v>4840436</v>
      </c>
      <c r="R122" s="3">
        <f t="shared" ca="1" si="36"/>
        <v>178102.67391304349</v>
      </c>
      <c r="S122">
        <f t="shared" ca="1" si="37"/>
        <v>46</v>
      </c>
      <c r="T122" s="2">
        <f t="shared" ca="1" si="38"/>
        <v>3352285.5560794766</v>
      </c>
      <c r="U122" s="17">
        <f t="shared" si="41"/>
        <v>2022</v>
      </c>
      <c r="V122" s="20" t="str">
        <f t="shared" si="39"/>
        <v>Aug-2022</v>
      </c>
    </row>
    <row r="123" spans="1:22" x14ac:dyDescent="0.3">
      <c r="A123" t="str">
        <f t="shared" si="40"/>
        <v>TX-00123</v>
      </c>
      <c r="B123" s="6">
        <v>44931</v>
      </c>
      <c r="C123" t="str">
        <f t="shared" ca="1" si="23"/>
        <v>Commercial</v>
      </c>
      <c r="D123" s="1" t="str">
        <f t="shared" ca="1" si="24"/>
        <v>Laguna</v>
      </c>
      <c r="E123" s="1">
        <f t="shared" ca="1" si="44"/>
        <v>3</v>
      </c>
      <c r="F123" s="1">
        <f t="shared" ca="1" si="44"/>
        <v>4</v>
      </c>
      <c r="G123">
        <f t="shared" ca="1" si="25"/>
        <v>117</v>
      </c>
      <c r="H123">
        <f t="shared" ca="1" si="26"/>
        <v>75</v>
      </c>
      <c r="I123">
        <f t="shared" ca="1" si="27"/>
        <v>2013</v>
      </c>
      <c r="J123" s="2">
        <f t="shared" ca="1" si="28"/>
        <v>13748243</v>
      </c>
      <c r="K123" s="4">
        <f t="shared" ca="1" si="29"/>
        <v>3639536</v>
      </c>
      <c r="L123" t="str">
        <f t="shared" ca="1" si="30"/>
        <v>Anna Mendoza</v>
      </c>
      <c r="M123" t="str">
        <f t="shared" ca="1" si="31"/>
        <v>OFW</v>
      </c>
      <c r="N123" t="str">
        <f t="shared" ca="1" si="32"/>
        <v>Installment</v>
      </c>
      <c r="O123" s="1">
        <f t="shared" ca="1" si="33"/>
        <v>232</v>
      </c>
      <c r="P123" s="2">
        <f t="shared" ca="1" si="34"/>
        <v>109186.08</v>
      </c>
      <c r="Q123" s="2">
        <f t="shared" ca="1" si="35"/>
        <v>-10108707</v>
      </c>
      <c r="R123" s="3">
        <f t="shared" ca="1" si="36"/>
        <v>48527.146666666667</v>
      </c>
      <c r="S123">
        <f t="shared" ca="1" si="37"/>
        <v>75</v>
      </c>
      <c r="T123" s="2">
        <f t="shared" ca="1" si="38"/>
        <v>13748243.735272646</v>
      </c>
      <c r="U123" s="17">
        <f t="shared" si="41"/>
        <v>2023</v>
      </c>
      <c r="V123" s="20" t="str">
        <f t="shared" si="39"/>
        <v>Jan-2023</v>
      </c>
    </row>
    <row r="124" spans="1:22" x14ac:dyDescent="0.3">
      <c r="A124" t="str">
        <f t="shared" si="40"/>
        <v>TX-00124</v>
      </c>
      <c r="B124" s="6">
        <v>43988</v>
      </c>
      <c r="C124" t="str">
        <f t="shared" ca="1" si="23"/>
        <v>Commercial</v>
      </c>
      <c r="D124" s="1" t="str">
        <f t="shared" ca="1" si="24"/>
        <v>Laguna</v>
      </c>
      <c r="E124" s="1">
        <f t="shared" ca="1" si="44"/>
        <v>3</v>
      </c>
      <c r="F124" s="1">
        <f t="shared" ca="1" si="44"/>
        <v>1</v>
      </c>
      <c r="G124">
        <f t="shared" ca="1" si="25"/>
        <v>63</v>
      </c>
      <c r="H124">
        <f t="shared" ca="1" si="26"/>
        <v>84</v>
      </c>
      <c r="I124">
        <f t="shared" ca="1" si="27"/>
        <v>2020</v>
      </c>
      <c r="J124" s="2">
        <f t="shared" ca="1" si="28"/>
        <v>5132244</v>
      </c>
      <c r="K124" s="4">
        <f t="shared" ca="1" si="29"/>
        <v>8334580</v>
      </c>
      <c r="L124" t="str">
        <f t="shared" ca="1" si="30"/>
        <v>Michelle Flores</v>
      </c>
      <c r="M124" t="str">
        <f t="shared" ca="1" si="31"/>
        <v>Individual</v>
      </c>
      <c r="N124" t="str">
        <f t="shared" ca="1" si="32"/>
        <v>Pag-IBIG Loan</v>
      </c>
      <c r="O124" s="1">
        <f t="shared" ca="1" si="33"/>
        <v>303</v>
      </c>
      <c r="P124" s="2">
        <f t="shared" ca="1" si="34"/>
        <v>250037.4</v>
      </c>
      <c r="Q124" s="2">
        <f t="shared" ca="1" si="35"/>
        <v>3202336</v>
      </c>
      <c r="R124" s="3">
        <f t="shared" ca="1" si="36"/>
        <v>99221.190476190473</v>
      </c>
      <c r="S124">
        <f t="shared" ca="1" si="37"/>
        <v>84</v>
      </c>
      <c r="T124" s="2">
        <f t="shared" ca="1" si="38"/>
        <v>5132243.3760359017</v>
      </c>
      <c r="U124" s="17">
        <f t="shared" si="41"/>
        <v>2020</v>
      </c>
      <c r="V124" s="20" t="str">
        <f t="shared" si="39"/>
        <v>Jun-2020</v>
      </c>
    </row>
    <row r="125" spans="1:22" x14ac:dyDescent="0.3">
      <c r="A125" t="str">
        <f t="shared" si="40"/>
        <v>TX-00125</v>
      </c>
      <c r="B125" s="6">
        <v>44010</v>
      </c>
      <c r="C125" t="str">
        <f t="shared" ca="1" si="23"/>
        <v>House &amp; Lot</v>
      </c>
      <c r="D125" s="1" t="str">
        <f t="shared" ca="1" si="24"/>
        <v>Laguna</v>
      </c>
      <c r="E125" s="1">
        <f t="shared" ca="1" si="44"/>
        <v>4</v>
      </c>
      <c r="F125" s="1">
        <f t="shared" ca="1" si="44"/>
        <v>2</v>
      </c>
      <c r="G125">
        <f t="shared" ca="1" si="25"/>
        <v>143</v>
      </c>
      <c r="H125">
        <f t="shared" ca="1" si="26"/>
        <v>193</v>
      </c>
      <c r="I125">
        <f t="shared" ca="1" si="27"/>
        <v>2011</v>
      </c>
      <c r="J125" s="2">
        <f t="shared" ca="1" si="28"/>
        <v>8941186</v>
      </c>
      <c r="K125" s="4">
        <f t="shared" ca="1" si="29"/>
        <v>6813716</v>
      </c>
      <c r="L125" t="str">
        <f t="shared" ca="1" si="30"/>
        <v>Mark Reyes</v>
      </c>
      <c r="M125" t="str">
        <f t="shared" ca="1" si="31"/>
        <v>Individual</v>
      </c>
      <c r="N125" t="str">
        <f t="shared" ca="1" si="32"/>
        <v>Installment</v>
      </c>
      <c r="O125" s="1">
        <f t="shared" ca="1" si="33"/>
        <v>241</v>
      </c>
      <c r="P125" s="2">
        <f t="shared" ca="1" si="34"/>
        <v>204411.47999999998</v>
      </c>
      <c r="Q125" s="2">
        <f t="shared" ca="1" si="35"/>
        <v>-2127470</v>
      </c>
      <c r="R125" s="3">
        <f t="shared" ca="1" si="36"/>
        <v>35304.227979274612</v>
      </c>
      <c r="S125">
        <f t="shared" ca="1" si="37"/>
        <v>193</v>
      </c>
      <c r="T125" s="2">
        <f t="shared" ca="1" si="38"/>
        <v>8941186.2379404698</v>
      </c>
      <c r="U125" s="17">
        <f t="shared" si="41"/>
        <v>2020</v>
      </c>
      <c r="V125" s="20" t="str">
        <f t="shared" si="39"/>
        <v>Jun-2020</v>
      </c>
    </row>
    <row r="126" spans="1:22" x14ac:dyDescent="0.3">
      <c r="A126" t="str">
        <f t="shared" si="40"/>
        <v>TX-00126</v>
      </c>
      <c r="B126" s="6">
        <v>45490</v>
      </c>
      <c r="C126" t="str">
        <f t="shared" ca="1" si="23"/>
        <v>Land</v>
      </c>
      <c r="D126" s="1" t="str">
        <f t="shared" ca="1" si="24"/>
        <v>Laguna</v>
      </c>
      <c r="E126" s="1">
        <f t="shared" ca="1" si="44"/>
        <v>1</v>
      </c>
      <c r="F126" s="1">
        <f t="shared" ca="1" si="44"/>
        <v>1</v>
      </c>
      <c r="G126">
        <f t="shared" ca="1" si="25"/>
        <v>100</v>
      </c>
      <c r="H126">
        <f t="shared" ca="1" si="26"/>
        <v>101</v>
      </c>
      <c r="I126">
        <f t="shared" ca="1" si="27"/>
        <v>2013</v>
      </c>
      <c r="J126" s="2">
        <f t="shared" ca="1" si="28"/>
        <v>3841554</v>
      </c>
      <c r="K126" s="4">
        <f t="shared" ca="1" si="29"/>
        <v>6427346</v>
      </c>
      <c r="L126" t="str">
        <f t="shared" ca="1" si="30"/>
        <v>Michelle Flores</v>
      </c>
      <c r="M126" t="str">
        <f t="shared" ca="1" si="31"/>
        <v>Individual</v>
      </c>
      <c r="N126" t="str">
        <f t="shared" ca="1" si="32"/>
        <v>Bank Loan</v>
      </c>
      <c r="O126" s="1">
        <f t="shared" ca="1" si="33"/>
        <v>251</v>
      </c>
      <c r="P126" s="2">
        <f t="shared" ca="1" si="34"/>
        <v>192820.38</v>
      </c>
      <c r="Q126" s="2">
        <f t="shared" ca="1" si="35"/>
        <v>2585792</v>
      </c>
      <c r="R126" s="3">
        <f t="shared" ca="1" si="36"/>
        <v>63637.089108910892</v>
      </c>
      <c r="S126">
        <f t="shared" ca="1" si="37"/>
        <v>101</v>
      </c>
      <c r="T126" s="2">
        <f t="shared" ca="1" si="38"/>
        <v>3841553.326889066</v>
      </c>
      <c r="U126" s="17">
        <f t="shared" si="41"/>
        <v>2024</v>
      </c>
      <c r="V126" s="20" t="str">
        <f t="shared" si="39"/>
        <v>Jul-2024</v>
      </c>
    </row>
    <row r="127" spans="1:22" x14ac:dyDescent="0.3">
      <c r="A127" t="str">
        <f t="shared" si="40"/>
        <v>TX-00127</v>
      </c>
      <c r="B127" s="6">
        <v>44453</v>
      </c>
      <c r="C127" t="str">
        <f t="shared" ca="1" si="23"/>
        <v>Land</v>
      </c>
      <c r="D127" s="1" t="str">
        <f t="shared" ca="1" si="24"/>
        <v>Cavite</v>
      </c>
      <c r="E127" s="1">
        <f t="shared" ca="1" si="44"/>
        <v>3</v>
      </c>
      <c r="F127" s="1">
        <f t="shared" ca="1" si="44"/>
        <v>4</v>
      </c>
      <c r="G127">
        <f t="shared" ca="1" si="25"/>
        <v>182</v>
      </c>
      <c r="H127">
        <f t="shared" ca="1" si="26"/>
        <v>191</v>
      </c>
      <c r="I127">
        <f t="shared" ca="1" si="27"/>
        <v>2021</v>
      </c>
      <c r="J127" s="2">
        <f t="shared" ca="1" si="28"/>
        <v>4275360</v>
      </c>
      <c r="K127" s="4">
        <f t="shared" ca="1" si="29"/>
        <v>6430993</v>
      </c>
      <c r="L127" t="str">
        <f t="shared" ca="1" si="30"/>
        <v>Anna Mendoza</v>
      </c>
      <c r="M127" t="str">
        <f t="shared" ca="1" si="31"/>
        <v>OFW</v>
      </c>
      <c r="N127" t="str">
        <f t="shared" ca="1" si="32"/>
        <v>Bank Loan</v>
      </c>
      <c r="O127" s="1">
        <f t="shared" ca="1" si="33"/>
        <v>264</v>
      </c>
      <c r="P127" s="2">
        <f t="shared" ca="1" si="34"/>
        <v>192929.78999999998</v>
      </c>
      <c r="Q127" s="2">
        <f t="shared" ca="1" si="35"/>
        <v>2155633</v>
      </c>
      <c r="R127" s="3">
        <f t="shared" ca="1" si="36"/>
        <v>33670.120418848164</v>
      </c>
      <c r="S127">
        <f t="shared" ca="1" si="37"/>
        <v>191</v>
      </c>
      <c r="T127" s="2">
        <f t="shared" ca="1" si="38"/>
        <v>4275359.4958008211</v>
      </c>
      <c r="U127" s="17">
        <f t="shared" si="41"/>
        <v>2021</v>
      </c>
      <c r="V127" s="20" t="str">
        <f t="shared" si="39"/>
        <v>Sep-2021</v>
      </c>
    </row>
    <row r="128" spans="1:22" x14ac:dyDescent="0.3">
      <c r="A128" t="str">
        <f t="shared" si="40"/>
        <v>TX-00128</v>
      </c>
      <c r="B128" s="6">
        <v>45481</v>
      </c>
      <c r="C128" t="str">
        <f t="shared" ca="1" si="23"/>
        <v>House &amp; Lot</v>
      </c>
      <c r="D128" s="1" t="str">
        <f t="shared" ca="1" si="24"/>
        <v>Bulacan</v>
      </c>
      <c r="E128" s="1">
        <f t="shared" ca="1" si="44"/>
        <v>4</v>
      </c>
      <c r="F128" s="1">
        <f t="shared" ca="1" si="44"/>
        <v>2</v>
      </c>
      <c r="G128">
        <f t="shared" ca="1" si="25"/>
        <v>152</v>
      </c>
      <c r="H128">
        <f t="shared" ca="1" si="26"/>
        <v>144</v>
      </c>
      <c r="I128">
        <f t="shared" ca="1" si="27"/>
        <v>2014</v>
      </c>
      <c r="J128" s="2">
        <f t="shared" ca="1" si="28"/>
        <v>11072079</v>
      </c>
      <c r="K128" s="4">
        <f t="shared" ca="1" si="29"/>
        <v>4209918</v>
      </c>
      <c r="L128" t="str">
        <f t="shared" ca="1" si="30"/>
        <v>Mary Garcia</v>
      </c>
      <c r="M128" t="str">
        <f t="shared" ca="1" si="31"/>
        <v>Individual</v>
      </c>
      <c r="N128" t="str">
        <f t="shared" ca="1" si="32"/>
        <v>Installment</v>
      </c>
      <c r="O128" s="1">
        <f t="shared" ca="1" si="33"/>
        <v>125</v>
      </c>
      <c r="P128" s="2">
        <f t="shared" ca="1" si="34"/>
        <v>126297.54</v>
      </c>
      <c r="Q128" s="2">
        <f t="shared" ca="1" si="35"/>
        <v>-6862161</v>
      </c>
      <c r="R128" s="3">
        <f t="shared" ca="1" si="36"/>
        <v>29235.541666666668</v>
      </c>
      <c r="S128">
        <f t="shared" ca="1" si="37"/>
        <v>144</v>
      </c>
      <c r="T128" s="2">
        <f t="shared" ca="1" si="38"/>
        <v>11072079.61977168</v>
      </c>
      <c r="U128" s="17">
        <f t="shared" si="41"/>
        <v>2024</v>
      </c>
      <c r="V128" s="20" t="str">
        <f t="shared" si="39"/>
        <v>Jul-2024</v>
      </c>
    </row>
    <row r="129" spans="1:22" x14ac:dyDescent="0.3">
      <c r="A129" t="str">
        <f t="shared" si="40"/>
        <v>TX-00129</v>
      </c>
      <c r="B129" s="6">
        <v>43108</v>
      </c>
      <c r="C129" t="str">
        <f t="shared" ca="1" si="23"/>
        <v>Land</v>
      </c>
      <c r="D129" s="1" t="str">
        <f t="shared" ca="1" si="24"/>
        <v>Makati</v>
      </c>
      <c r="E129" s="1">
        <f t="shared" ca="1" si="44"/>
        <v>4</v>
      </c>
      <c r="F129" s="1">
        <f t="shared" ca="1" si="44"/>
        <v>3</v>
      </c>
      <c r="G129">
        <f t="shared" ca="1" si="25"/>
        <v>162</v>
      </c>
      <c r="H129">
        <f t="shared" ca="1" si="26"/>
        <v>85</v>
      </c>
      <c r="I129">
        <f t="shared" ca="1" si="27"/>
        <v>2023</v>
      </c>
      <c r="J129" s="2">
        <f t="shared" ca="1" si="28"/>
        <v>3869470</v>
      </c>
      <c r="K129" s="4">
        <f t="shared" ca="1" si="29"/>
        <v>5623453</v>
      </c>
      <c r="L129" t="str">
        <f t="shared" ca="1" si="30"/>
        <v>Rachel Villanueva</v>
      </c>
      <c r="M129" t="str">
        <f t="shared" ca="1" si="31"/>
        <v>Investor</v>
      </c>
      <c r="N129" t="str">
        <f t="shared" ca="1" si="32"/>
        <v>Pag-IBIG Loan</v>
      </c>
      <c r="O129" s="1">
        <f t="shared" ca="1" si="33"/>
        <v>349</v>
      </c>
      <c r="P129" s="2">
        <f t="shared" ca="1" si="34"/>
        <v>168703.59</v>
      </c>
      <c r="Q129" s="2">
        <f t="shared" ca="1" si="35"/>
        <v>1753983</v>
      </c>
      <c r="R129" s="3">
        <f t="shared" ca="1" si="36"/>
        <v>66158.270588235289</v>
      </c>
      <c r="S129">
        <f t="shared" ca="1" si="37"/>
        <v>85</v>
      </c>
      <c r="T129" s="2">
        <f t="shared" ca="1" si="38"/>
        <v>3869469.5467123403</v>
      </c>
      <c r="U129" s="17">
        <f t="shared" si="41"/>
        <v>2018</v>
      </c>
      <c r="V129" s="20" t="str">
        <f t="shared" si="39"/>
        <v>Jan-2018</v>
      </c>
    </row>
    <row r="130" spans="1:22" x14ac:dyDescent="0.3">
      <c r="A130" t="str">
        <f t="shared" si="40"/>
        <v>TX-00130</v>
      </c>
      <c r="B130" s="6">
        <v>44259</v>
      </c>
      <c r="C130" t="str">
        <f t="shared" ref="C130:C193" ca="1" si="45">CHOOSE(RANDBETWEEN(1,4),"Condo","House &amp; Lot","Commercial","Land")</f>
        <v>Land</v>
      </c>
      <c r="D130" s="1" t="str">
        <f t="shared" ref="D130:D193" ca="1" si="46">CHOOSE(RANDBETWEEN(1,4),"Laguna","Makati","Cavite","Bulacan")</f>
        <v>Laguna</v>
      </c>
      <c r="E130" s="1">
        <f t="shared" ca="1" si="44"/>
        <v>4</v>
      </c>
      <c r="F130" s="1">
        <f t="shared" ca="1" si="44"/>
        <v>1</v>
      </c>
      <c r="G130">
        <f t="shared" ref="G130:G193" ca="1" si="47">RANDBETWEEN(40,200)</f>
        <v>59</v>
      </c>
      <c r="H130">
        <f t="shared" ref="H130:H193" ca="1" si="48">RANDBETWEEN(50,250)</f>
        <v>183</v>
      </c>
      <c r="I130">
        <f t="shared" ref="I130:I193" ca="1" si="49">RANDBETWEEN(2010,2023)</f>
        <v>2022</v>
      </c>
      <c r="J130" s="2">
        <f t="shared" ref="J130:J193" ca="1" si="50">RANDBETWEEN(2000000,15000000)</f>
        <v>13144403</v>
      </c>
      <c r="K130" s="4">
        <f t="shared" ref="K130:K193" ca="1" si="51">RANDBETWEEN(1500000,13000000)</f>
        <v>7267083</v>
      </c>
      <c r="L130" t="str">
        <f t="shared" ref="L130:L193" ca="1" si="52">CHOOSE(RANDBETWEEN(1,9),"John Dela Cruz", "Michael Santos", "Mark Reyes", "Daniel Cruz", "Mary Garcia","Anna Mendoza", "Michelle Flores", "Rachel Villanueva", "Joy Ramos")</f>
        <v>Michael Santos</v>
      </c>
      <c r="M130" t="str">
        <f t="shared" ref="M130:M193" ca="1" si="53">CHOOSE(RANDBETWEEN(1,4),"Individual", "Corporation", "OFW", "Investor")</f>
        <v>Investor</v>
      </c>
      <c r="N130" t="str">
        <f t="shared" ref="N130:N193" ca="1" si="54">CHOOSE(RANDBETWEEN(1,4),"Cash", "Bank Loan", "Pag-IBIG Loan", "Installment")</f>
        <v>Pag-IBIG Loan</v>
      </c>
      <c r="O130" s="1">
        <f t="shared" ref="O130:O193" ca="1" si="55">RANDBETWEEN(100,400)</f>
        <v>126</v>
      </c>
      <c r="P130" s="2">
        <f t="shared" ref="P130:P193" ca="1" si="56">SUM(K130*0.03)</f>
        <v>218012.49</v>
      </c>
      <c r="Q130" s="2">
        <f t="shared" ref="Q130:Q193" ca="1" si="57">SUM(K130-J130)</f>
        <v>-5877320</v>
      </c>
      <c r="R130" s="3">
        <f t="shared" ref="R130:R193" ca="1" si="58">SUM(K130/S130)</f>
        <v>39710.836065573771</v>
      </c>
      <c r="S130">
        <f t="shared" ref="S130:S193" ca="1" si="59">IF(C130="Condo", G130,H130)</f>
        <v>183</v>
      </c>
      <c r="T130" s="2">
        <f t="shared" ref="T130:T193" ca="1" si="60">SUM(J130-Q130/J130)</f>
        <v>13144403.4471348</v>
      </c>
      <c r="U130" s="17">
        <f t="shared" si="41"/>
        <v>2021</v>
      </c>
      <c r="V130" s="20" t="str">
        <f t="shared" ref="V130:V193" si="61">TEXT(B130,"mmm-yyyy")</f>
        <v>Mar-2021</v>
      </c>
    </row>
    <row r="131" spans="1:22" x14ac:dyDescent="0.3">
      <c r="A131" t="str">
        <f t="shared" ref="A131:A194" si="62">"TX-" &amp; TEXT(ROW(),"00000")</f>
        <v>TX-00131</v>
      </c>
      <c r="B131" s="6">
        <v>44272</v>
      </c>
      <c r="C131" t="str">
        <f t="shared" ca="1" si="45"/>
        <v>Commercial</v>
      </c>
      <c r="D131" s="1" t="str">
        <f t="shared" ca="1" si="46"/>
        <v>Makati</v>
      </c>
      <c r="E131" s="1">
        <f t="shared" ca="1" si="44"/>
        <v>2</v>
      </c>
      <c r="F131" s="1">
        <f t="shared" ca="1" si="44"/>
        <v>2</v>
      </c>
      <c r="G131">
        <f t="shared" ca="1" si="47"/>
        <v>113</v>
      </c>
      <c r="H131">
        <f t="shared" ca="1" si="48"/>
        <v>53</v>
      </c>
      <c r="I131">
        <f t="shared" ca="1" si="49"/>
        <v>2017</v>
      </c>
      <c r="J131" s="2">
        <f t="shared" ca="1" si="50"/>
        <v>14432720</v>
      </c>
      <c r="K131" s="4">
        <f t="shared" ca="1" si="51"/>
        <v>7937636</v>
      </c>
      <c r="L131" t="str">
        <f t="shared" ca="1" si="52"/>
        <v>Michael Santos</v>
      </c>
      <c r="M131" t="str">
        <f t="shared" ca="1" si="53"/>
        <v>Investor</v>
      </c>
      <c r="N131" t="str">
        <f t="shared" ca="1" si="54"/>
        <v>Installment</v>
      </c>
      <c r="O131" s="1">
        <f t="shared" ca="1" si="55"/>
        <v>306</v>
      </c>
      <c r="P131" s="2">
        <f t="shared" ca="1" si="56"/>
        <v>238129.08</v>
      </c>
      <c r="Q131" s="2">
        <f t="shared" ca="1" si="57"/>
        <v>-6495084</v>
      </c>
      <c r="R131" s="3">
        <f t="shared" ca="1" si="58"/>
        <v>149766.71698113208</v>
      </c>
      <c r="S131">
        <f t="shared" ca="1" si="59"/>
        <v>53</v>
      </c>
      <c r="T131" s="2">
        <f t="shared" ca="1" si="60"/>
        <v>14432720.450024944</v>
      </c>
      <c r="U131" s="17">
        <f t="shared" ref="U131:U194" si="63">YEAR(B131)</f>
        <v>2021</v>
      </c>
      <c r="V131" s="20" t="str">
        <f t="shared" si="61"/>
        <v>Mar-2021</v>
      </c>
    </row>
    <row r="132" spans="1:22" x14ac:dyDescent="0.3">
      <c r="A132" t="str">
        <f t="shared" si="62"/>
        <v>TX-00132</v>
      </c>
      <c r="B132" s="6">
        <v>45444</v>
      </c>
      <c r="C132" t="str">
        <f t="shared" ca="1" si="45"/>
        <v>Condo</v>
      </c>
      <c r="D132" s="1" t="str">
        <f t="shared" ca="1" si="46"/>
        <v>Laguna</v>
      </c>
      <c r="E132" s="1">
        <f t="shared" ca="1" si="44"/>
        <v>3</v>
      </c>
      <c r="F132" s="1">
        <f t="shared" ca="1" si="44"/>
        <v>3</v>
      </c>
      <c r="G132">
        <f t="shared" ca="1" si="47"/>
        <v>181</v>
      </c>
      <c r="H132">
        <f t="shared" ca="1" si="48"/>
        <v>123</v>
      </c>
      <c r="I132">
        <f t="shared" ca="1" si="49"/>
        <v>2017</v>
      </c>
      <c r="J132" s="2">
        <f t="shared" ca="1" si="50"/>
        <v>5344266</v>
      </c>
      <c r="K132" s="4">
        <f t="shared" ca="1" si="51"/>
        <v>3663569</v>
      </c>
      <c r="L132" t="str">
        <f t="shared" ca="1" si="52"/>
        <v>Mary Garcia</v>
      </c>
      <c r="M132" t="str">
        <f t="shared" ca="1" si="53"/>
        <v>Investor</v>
      </c>
      <c r="N132" t="str">
        <f t="shared" ca="1" si="54"/>
        <v>Installment</v>
      </c>
      <c r="O132" s="1">
        <f t="shared" ca="1" si="55"/>
        <v>197</v>
      </c>
      <c r="P132" s="2">
        <f t="shared" ca="1" si="56"/>
        <v>109907.06999999999</v>
      </c>
      <c r="Q132" s="2">
        <f t="shared" ca="1" si="57"/>
        <v>-1680697</v>
      </c>
      <c r="R132" s="3">
        <f t="shared" ca="1" si="58"/>
        <v>20240.71270718232</v>
      </c>
      <c r="S132">
        <f t="shared" ca="1" si="59"/>
        <v>181</v>
      </c>
      <c r="T132" s="2">
        <f t="shared" ca="1" si="60"/>
        <v>5344266.3144860305</v>
      </c>
      <c r="U132" s="17">
        <f t="shared" si="63"/>
        <v>2024</v>
      </c>
      <c r="V132" s="20" t="str">
        <f t="shared" si="61"/>
        <v>Jun-2024</v>
      </c>
    </row>
    <row r="133" spans="1:22" x14ac:dyDescent="0.3">
      <c r="A133" t="str">
        <f t="shared" si="62"/>
        <v>TX-00133</v>
      </c>
      <c r="B133" s="6">
        <v>43886</v>
      </c>
      <c r="C133" t="str">
        <f t="shared" ca="1" si="45"/>
        <v>House &amp; Lot</v>
      </c>
      <c r="D133" s="1" t="str">
        <f t="shared" ca="1" si="46"/>
        <v>Makati</v>
      </c>
      <c r="E133" s="1">
        <f t="shared" ca="1" si="44"/>
        <v>2</v>
      </c>
      <c r="F133" s="1">
        <f t="shared" ca="1" si="44"/>
        <v>4</v>
      </c>
      <c r="G133">
        <f t="shared" ca="1" si="47"/>
        <v>139</v>
      </c>
      <c r="H133">
        <f t="shared" ca="1" si="48"/>
        <v>237</v>
      </c>
      <c r="I133">
        <f t="shared" ca="1" si="49"/>
        <v>2017</v>
      </c>
      <c r="J133" s="2">
        <f t="shared" ca="1" si="50"/>
        <v>6813158</v>
      </c>
      <c r="K133" s="4">
        <f t="shared" ca="1" si="51"/>
        <v>8590852</v>
      </c>
      <c r="L133" t="str">
        <f t="shared" ca="1" si="52"/>
        <v>Joy Ramos</v>
      </c>
      <c r="M133" t="str">
        <f t="shared" ca="1" si="53"/>
        <v>Individual</v>
      </c>
      <c r="N133" t="str">
        <f t="shared" ca="1" si="54"/>
        <v>Installment</v>
      </c>
      <c r="O133" s="1">
        <f t="shared" ca="1" si="55"/>
        <v>114</v>
      </c>
      <c r="P133" s="2">
        <f t="shared" ca="1" si="56"/>
        <v>257725.56</v>
      </c>
      <c r="Q133" s="2">
        <f t="shared" ca="1" si="57"/>
        <v>1777694</v>
      </c>
      <c r="R133" s="3">
        <f t="shared" ca="1" si="58"/>
        <v>36248.320675105482</v>
      </c>
      <c r="S133">
        <f t="shared" ca="1" si="59"/>
        <v>237</v>
      </c>
      <c r="T133" s="2">
        <f t="shared" ca="1" si="60"/>
        <v>6813157.7390792938</v>
      </c>
      <c r="U133" s="17">
        <f t="shared" si="63"/>
        <v>2020</v>
      </c>
      <c r="V133" s="20" t="str">
        <f t="shared" si="61"/>
        <v>Feb-2020</v>
      </c>
    </row>
    <row r="134" spans="1:22" x14ac:dyDescent="0.3">
      <c r="A134" t="str">
        <f t="shared" si="62"/>
        <v>TX-00134</v>
      </c>
      <c r="B134" s="6">
        <v>45494</v>
      </c>
      <c r="C134" t="str">
        <f t="shared" ca="1" si="45"/>
        <v>Land</v>
      </c>
      <c r="D134" s="1" t="str">
        <f t="shared" ca="1" si="46"/>
        <v>Laguna</v>
      </c>
      <c r="E134" s="1">
        <f t="shared" ca="1" si="44"/>
        <v>4</v>
      </c>
      <c r="F134" s="1">
        <f t="shared" ca="1" si="44"/>
        <v>1</v>
      </c>
      <c r="G134">
        <f t="shared" ca="1" si="47"/>
        <v>126</v>
      </c>
      <c r="H134">
        <f t="shared" ca="1" si="48"/>
        <v>231</v>
      </c>
      <c r="I134">
        <f t="shared" ca="1" si="49"/>
        <v>2019</v>
      </c>
      <c r="J134" s="2">
        <f t="shared" ca="1" si="50"/>
        <v>7038852</v>
      </c>
      <c r="K134" s="4">
        <f t="shared" ca="1" si="51"/>
        <v>4398177</v>
      </c>
      <c r="L134" t="str">
        <f t="shared" ca="1" si="52"/>
        <v>Anna Mendoza</v>
      </c>
      <c r="M134" t="str">
        <f t="shared" ca="1" si="53"/>
        <v>Individual</v>
      </c>
      <c r="N134" t="str">
        <f t="shared" ca="1" si="54"/>
        <v>Bank Loan</v>
      </c>
      <c r="O134" s="1">
        <f t="shared" ca="1" si="55"/>
        <v>258</v>
      </c>
      <c r="P134" s="2">
        <f t="shared" ca="1" si="56"/>
        <v>131945.31</v>
      </c>
      <c r="Q134" s="2">
        <f t="shared" ca="1" si="57"/>
        <v>-2640675</v>
      </c>
      <c r="R134" s="3">
        <f t="shared" ca="1" si="58"/>
        <v>19039.727272727272</v>
      </c>
      <c r="S134">
        <f t="shared" ca="1" si="59"/>
        <v>231</v>
      </c>
      <c r="T134" s="2">
        <f t="shared" ca="1" si="60"/>
        <v>7038852.3751570573</v>
      </c>
      <c r="U134" s="17">
        <f t="shared" si="63"/>
        <v>2024</v>
      </c>
      <c r="V134" s="20" t="str">
        <f t="shared" si="61"/>
        <v>Jul-2024</v>
      </c>
    </row>
    <row r="135" spans="1:22" x14ac:dyDescent="0.3">
      <c r="A135" t="str">
        <f t="shared" si="62"/>
        <v>TX-00135</v>
      </c>
      <c r="B135" s="6">
        <v>43158</v>
      </c>
      <c r="C135" t="str">
        <f t="shared" ca="1" si="45"/>
        <v>Land</v>
      </c>
      <c r="D135" s="1" t="str">
        <f t="shared" ca="1" si="46"/>
        <v>Makati</v>
      </c>
      <c r="E135" s="1">
        <f t="shared" ca="1" si="44"/>
        <v>1</v>
      </c>
      <c r="F135" s="1">
        <f t="shared" ca="1" si="44"/>
        <v>1</v>
      </c>
      <c r="G135">
        <f t="shared" ca="1" si="47"/>
        <v>156</v>
      </c>
      <c r="H135">
        <f t="shared" ca="1" si="48"/>
        <v>197</v>
      </c>
      <c r="I135">
        <f t="shared" ca="1" si="49"/>
        <v>2015</v>
      </c>
      <c r="J135" s="2">
        <f t="shared" ca="1" si="50"/>
        <v>14976514</v>
      </c>
      <c r="K135" s="4">
        <f t="shared" ca="1" si="51"/>
        <v>10074666</v>
      </c>
      <c r="L135" t="str">
        <f t="shared" ca="1" si="52"/>
        <v>Michelle Flores</v>
      </c>
      <c r="M135" t="str">
        <f t="shared" ca="1" si="53"/>
        <v>Investor</v>
      </c>
      <c r="N135" t="str">
        <f t="shared" ca="1" si="54"/>
        <v>Bank Loan</v>
      </c>
      <c r="O135" s="1">
        <f t="shared" ca="1" si="55"/>
        <v>309</v>
      </c>
      <c r="P135" s="2">
        <f t="shared" ca="1" si="56"/>
        <v>302239.98</v>
      </c>
      <c r="Q135" s="2">
        <f t="shared" ca="1" si="57"/>
        <v>-4901848</v>
      </c>
      <c r="R135" s="3">
        <f t="shared" ca="1" si="58"/>
        <v>51140.436548223348</v>
      </c>
      <c r="S135">
        <f t="shared" ca="1" si="59"/>
        <v>197</v>
      </c>
      <c r="T135" s="2">
        <f t="shared" ca="1" si="60"/>
        <v>14976514.327302335</v>
      </c>
      <c r="U135" s="17">
        <f t="shared" si="63"/>
        <v>2018</v>
      </c>
      <c r="V135" s="20" t="str">
        <f t="shared" si="61"/>
        <v>Feb-2018</v>
      </c>
    </row>
    <row r="136" spans="1:22" x14ac:dyDescent="0.3">
      <c r="A136" t="str">
        <f t="shared" si="62"/>
        <v>TX-00136</v>
      </c>
      <c r="B136" s="6">
        <v>44457</v>
      </c>
      <c r="C136" t="str">
        <f t="shared" ca="1" si="45"/>
        <v>Condo</v>
      </c>
      <c r="D136" s="1" t="str">
        <f t="shared" ca="1" si="46"/>
        <v>Cavite</v>
      </c>
      <c r="E136" s="1">
        <f t="shared" ca="1" si="44"/>
        <v>3</v>
      </c>
      <c r="F136" s="1">
        <f t="shared" ca="1" si="44"/>
        <v>4</v>
      </c>
      <c r="G136">
        <f t="shared" ca="1" si="47"/>
        <v>159</v>
      </c>
      <c r="H136">
        <f t="shared" ca="1" si="48"/>
        <v>161</v>
      </c>
      <c r="I136">
        <f t="shared" ca="1" si="49"/>
        <v>2016</v>
      </c>
      <c r="J136" s="2">
        <f t="shared" ca="1" si="50"/>
        <v>4791144</v>
      </c>
      <c r="K136" s="4">
        <f t="shared" ca="1" si="51"/>
        <v>5964217</v>
      </c>
      <c r="L136" t="str">
        <f t="shared" ca="1" si="52"/>
        <v>John Dela Cruz</v>
      </c>
      <c r="M136" t="str">
        <f t="shared" ca="1" si="53"/>
        <v>OFW</v>
      </c>
      <c r="N136" t="str">
        <f t="shared" ca="1" si="54"/>
        <v>Installment</v>
      </c>
      <c r="O136" s="1">
        <f t="shared" ca="1" si="55"/>
        <v>108</v>
      </c>
      <c r="P136" s="2">
        <f t="shared" ca="1" si="56"/>
        <v>178926.50999999998</v>
      </c>
      <c r="Q136" s="2">
        <f t="shared" ca="1" si="57"/>
        <v>1173073</v>
      </c>
      <c r="R136" s="3">
        <f t="shared" ca="1" si="58"/>
        <v>37510.798742138366</v>
      </c>
      <c r="S136">
        <f t="shared" ca="1" si="59"/>
        <v>159</v>
      </c>
      <c r="T136" s="2">
        <f t="shared" ca="1" si="60"/>
        <v>4791143.7551580584</v>
      </c>
      <c r="U136" s="17">
        <f t="shared" si="63"/>
        <v>2021</v>
      </c>
      <c r="V136" s="20" t="str">
        <f t="shared" si="61"/>
        <v>Sep-2021</v>
      </c>
    </row>
    <row r="137" spans="1:22" x14ac:dyDescent="0.3">
      <c r="A137" t="str">
        <f t="shared" si="62"/>
        <v>TX-00137</v>
      </c>
      <c r="B137" s="6">
        <v>43742</v>
      </c>
      <c r="C137" t="str">
        <f t="shared" ca="1" si="45"/>
        <v>Condo</v>
      </c>
      <c r="D137" s="1" t="str">
        <f t="shared" ca="1" si="46"/>
        <v>Cavite</v>
      </c>
      <c r="E137" s="1">
        <f t="shared" ca="1" si="44"/>
        <v>1</v>
      </c>
      <c r="F137" s="1">
        <f t="shared" ca="1" si="44"/>
        <v>2</v>
      </c>
      <c r="G137">
        <f t="shared" ca="1" si="47"/>
        <v>132</v>
      </c>
      <c r="H137">
        <f t="shared" ca="1" si="48"/>
        <v>76</v>
      </c>
      <c r="I137">
        <f t="shared" ca="1" si="49"/>
        <v>2017</v>
      </c>
      <c r="J137" s="2">
        <f t="shared" ca="1" si="50"/>
        <v>9255197</v>
      </c>
      <c r="K137" s="4">
        <f t="shared" ca="1" si="51"/>
        <v>6694143</v>
      </c>
      <c r="L137" t="str">
        <f t="shared" ca="1" si="52"/>
        <v>Daniel Cruz</v>
      </c>
      <c r="M137" t="str">
        <f t="shared" ca="1" si="53"/>
        <v>Corporation</v>
      </c>
      <c r="N137" t="str">
        <f t="shared" ca="1" si="54"/>
        <v>Cash</v>
      </c>
      <c r="O137" s="1">
        <f t="shared" ca="1" si="55"/>
        <v>364</v>
      </c>
      <c r="P137" s="2">
        <f t="shared" ca="1" si="56"/>
        <v>200824.28999999998</v>
      </c>
      <c r="Q137" s="2">
        <f t="shared" ca="1" si="57"/>
        <v>-2561054</v>
      </c>
      <c r="R137" s="3">
        <f t="shared" ca="1" si="58"/>
        <v>50713.204545454544</v>
      </c>
      <c r="S137">
        <f t="shared" ca="1" si="59"/>
        <v>132</v>
      </c>
      <c r="T137" s="2">
        <f t="shared" ca="1" si="60"/>
        <v>9255197.2767152339</v>
      </c>
      <c r="U137" s="17">
        <f t="shared" si="63"/>
        <v>2019</v>
      </c>
      <c r="V137" s="20" t="str">
        <f t="shared" si="61"/>
        <v>Oct-2019</v>
      </c>
    </row>
    <row r="138" spans="1:22" x14ac:dyDescent="0.3">
      <c r="A138" t="str">
        <f t="shared" si="62"/>
        <v>TX-00138</v>
      </c>
      <c r="B138" s="6">
        <v>44694</v>
      </c>
      <c r="C138" t="str">
        <f t="shared" ca="1" si="45"/>
        <v>Condo</v>
      </c>
      <c r="D138" s="1" t="str">
        <f t="shared" ca="1" si="46"/>
        <v>Bulacan</v>
      </c>
      <c r="E138" s="1">
        <f t="shared" ca="1" si="44"/>
        <v>2</v>
      </c>
      <c r="F138" s="1">
        <f t="shared" ca="1" si="44"/>
        <v>4</v>
      </c>
      <c r="G138">
        <f t="shared" ca="1" si="47"/>
        <v>87</v>
      </c>
      <c r="H138">
        <f t="shared" ca="1" si="48"/>
        <v>94</v>
      </c>
      <c r="I138">
        <f t="shared" ca="1" si="49"/>
        <v>2019</v>
      </c>
      <c r="J138" s="2">
        <f t="shared" ca="1" si="50"/>
        <v>14825596</v>
      </c>
      <c r="K138" s="4">
        <f t="shared" ca="1" si="51"/>
        <v>8535513</v>
      </c>
      <c r="L138" t="str">
        <f t="shared" ca="1" si="52"/>
        <v>Mark Reyes</v>
      </c>
      <c r="M138" t="str">
        <f t="shared" ca="1" si="53"/>
        <v>Corporation</v>
      </c>
      <c r="N138" t="str">
        <f t="shared" ca="1" si="54"/>
        <v>Cash</v>
      </c>
      <c r="O138" s="1">
        <f t="shared" ca="1" si="55"/>
        <v>183</v>
      </c>
      <c r="P138" s="2">
        <f t="shared" ca="1" si="56"/>
        <v>256065.38999999998</v>
      </c>
      <c r="Q138" s="2">
        <f t="shared" ca="1" si="57"/>
        <v>-6290083</v>
      </c>
      <c r="R138" s="3">
        <f t="shared" ca="1" si="58"/>
        <v>98109.344827586203</v>
      </c>
      <c r="S138">
        <f t="shared" ca="1" si="59"/>
        <v>87</v>
      </c>
      <c r="T138" s="2">
        <f t="shared" ca="1" si="60"/>
        <v>14825596.424271848</v>
      </c>
      <c r="U138" s="17">
        <f t="shared" si="63"/>
        <v>2022</v>
      </c>
      <c r="V138" s="20" t="str">
        <f t="shared" si="61"/>
        <v>May-2022</v>
      </c>
    </row>
    <row r="139" spans="1:22" x14ac:dyDescent="0.3">
      <c r="A139" t="str">
        <f t="shared" si="62"/>
        <v>TX-00139</v>
      </c>
      <c r="B139" s="6">
        <v>45353</v>
      </c>
      <c r="C139" t="str">
        <f t="shared" ca="1" si="45"/>
        <v>House &amp; Lot</v>
      </c>
      <c r="D139" s="1" t="str">
        <f t="shared" ca="1" si="46"/>
        <v>Cavite</v>
      </c>
      <c r="E139" s="1">
        <f t="shared" ca="1" si="44"/>
        <v>1</v>
      </c>
      <c r="F139" s="1">
        <f t="shared" ca="1" si="44"/>
        <v>4</v>
      </c>
      <c r="G139">
        <f t="shared" ca="1" si="47"/>
        <v>79</v>
      </c>
      <c r="H139">
        <f t="shared" ca="1" si="48"/>
        <v>237</v>
      </c>
      <c r="I139">
        <f t="shared" ca="1" si="49"/>
        <v>2018</v>
      </c>
      <c r="J139" s="2">
        <f t="shared" ca="1" si="50"/>
        <v>9406398</v>
      </c>
      <c r="K139" s="4">
        <f t="shared" ca="1" si="51"/>
        <v>3979888</v>
      </c>
      <c r="L139" t="str">
        <f t="shared" ca="1" si="52"/>
        <v>Mary Garcia</v>
      </c>
      <c r="M139" t="str">
        <f t="shared" ca="1" si="53"/>
        <v>Individual</v>
      </c>
      <c r="N139" t="str">
        <f t="shared" ca="1" si="54"/>
        <v>Cash</v>
      </c>
      <c r="O139" s="1">
        <f t="shared" ca="1" si="55"/>
        <v>235</v>
      </c>
      <c r="P139" s="2">
        <f t="shared" ca="1" si="56"/>
        <v>119396.64</v>
      </c>
      <c r="Q139" s="2">
        <f t="shared" ca="1" si="57"/>
        <v>-5426510</v>
      </c>
      <c r="R139" s="3">
        <f t="shared" ca="1" si="58"/>
        <v>16792.776371308017</v>
      </c>
      <c r="S139">
        <f t="shared" ca="1" si="59"/>
        <v>237</v>
      </c>
      <c r="T139" s="2">
        <f t="shared" ca="1" si="60"/>
        <v>9406398.5768956412</v>
      </c>
      <c r="U139" s="17">
        <f t="shared" si="63"/>
        <v>2024</v>
      </c>
      <c r="V139" s="20" t="str">
        <f t="shared" si="61"/>
        <v>Mar-2024</v>
      </c>
    </row>
    <row r="140" spans="1:22" x14ac:dyDescent="0.3">
      <c r="A140" t="str">
        <f t="shared" si="62"/>
        <v>TX-00140</v>
      </c>
      <c r="B140" s="6">
        <v>43771</v>
      </c>
      <c r="C140" t="str">
        <f t="shared" ca="1" si="45"/>
        <v>Land</v>
      </c>
      <c r="D140" s="1" t="str">
        <f t="shared" ca="1" si="46"/>
        <v>Bulacan</v>
      </c>
      <c r="E140" s="1">
        <f t="shared" ca="1" si="44"/>
        <v>3</v>
      </c>
      <c r="F140" s="1">
        <f t="shared" ca="1" si="44"/>
        <v>3</v>
      </c>
      <c r="G140">
        <f t="shared" ca="1" si="47"/>
        <v>69</v>
      </c>
      <c r="H140">
        <f t="shared" ca="1" si="48"/>
        <v>112</v>
      </c>
      <c r="I140">
        <f t="shared" ca="1" si="49"/>
        <v>2013</v>
      </c>
      <c r="J140" s="2">
        <f t="shared" ca="1" si="50"/>
        <v>11476464</v>
      </c>
      <c r="K140" s="4">
        <f t="shared" ca="1" si="51"/>
        <v>8329554</v>
      </c>
      <c r="L140" t="str">
        <f t="shared" ca="1" si="52"/>
        <v>Joy Ramos</v>
      </c>
      <c r="M140" t="str">
        <f t="shared" ca="1" si="53"/>
        <v>Individual</v>
      </c>
      <c r="N140" t="str">
        <f t="shared" ca="1" si="54"/>
        <v>Bank Loan</v>
      </c>
      <c r="O140" s="1">
        <f t="shared" ca="1" si="55"/>
        <v>392</v>
      </c>
      <c r="P140" s="2">
        <f t="shared" ca="1" si="56"/>
        <v>249886.62</v>
      </c>
      <c r="Q140" s="2">
        <f t="shared" ca="1" si="57"/>
        <v>-3146910</v>
      </c>
      <c r="R140" s="3">
        <f t="shared" ca="1" si="58"/>
        <v>74371.017857142855</v>
      </c>
      <c r="S140">
        <f t="shared" ca="1" si="59"/>
        <v>112</v>
      </c>
      <c r="T140" s="2">
        <f t="shared" ca="1" si="60"/>
        <v>11476464.274205539</v>
      </c>
      <c r="U140" s="17">
        <f t="shared" si="63"/>
        <v>2019</v>
      </c>
      <c r="V140" s="20" t="str">
        <f t="shared" si="61"/>
        <v>Nov-2019</v>
      </c>
    </row>
    <row r="141" spans="1:22" x14ac:dyDescent="0.3">
      <c r="A141" t="str">
        <f t="shared" si="62"/>
        <v>TX-00141</v>
      </c>
      <c r="B141" s="6">
        <v>44918</v>
      </c>
      <c r="C141" t="str">
        <f t="shared" ca="1" si="45"/>
        <v>Land</v>
      </c>
      <c r="D141" s="1" t="str">
        <f t="shared" ca="1" si="46"/>
        <v>Bulacan</v>
      </c>
      <c r="E141" s="1">
        <f t="shared" ca="1" si="44"/>
        <v>4</v>
      </c>
      <c r="F141" s="1">
        <f t="shared" ca="1" si="44"/>
        <v>3</v>
      </c>
      <c r="G141">
        <f t="shared" ca="1" si="47"/>
        <v>42</v>
      </c>
      <c r="H141">
        <f t="shared" ca="1" si="48"/>
        <v>79</v>
      </c>
      <c r="I141">
        <f t="shared" ca="1" si="49"/>
        <v>2013</v>
      </c>
      <c r="J141" s="2">
        <f t="shared" ca="1" si="50"/>
        <v>8272491</v>
      </c>
      <c r="K141" s="4">
        <f t="shared" ca="1" si="51"/>
        <v>6577893</v>
      </c>
      <c r="L141" t="str">
        <f t="shared" ca="1" si="52"/>
        <v>Daniel Cruz</v>
      </c>
      <c r="M141" t="str">
        <f t="shared" ca="1" si="53"/>
        <v>Individual</v>
      </c>
      <c r="N141" t="str">
        <f t="shared" ca="1" si="54"/>
        <v>Cash</v>
      </c>
      <c r="O141" s="1">
        <f t="shared" ca="1" si="55"/>
        <v>260</v>
      </c>
      <c r="P141" s="2">
        <f t="shared" ca="1" si="56"/>
        <v>197336.78999999998</v>
      </c>
      <c r="Q141" s="2">
        <f t="shared" ca="1" si="57"/>
        <v>-1694598</v>
      </c>
      <c r="R141" s="3">
        <f t="shared" ca="1" si="58"/>
        <v>83264.468354430384</v>
      </c>
      <c r="S141">
        <f t="shared" ca="1" si="59"/>
        <v>79</v>
      </c>
      <c r="T141" s="2">
        <f t="shared" ca="1" si="60"/>
        <v>8272491.2048473665</v>
      </c>
      <c r="U141" s="17">
        <f t="shared" si="63"/>
        <v>2022</v>
      </c>
      <c r="V141" s="20" t="str">
        <f t="shared" si="61"/>
        <v>Dec-2022</v>
      </c>
    </row>
    <row r="142" spans="1:22" x14ac:dyDescent="0.3">
      <c r="A142" t="str">
        <f t="shared" si="62"/>
        <v>TX-00142</v>
      </c>
      <c r="B142" s="6">
        <v>43820</v>
      </c>
      <c r="C142" t="str">
        <f t="shared" ca="1" si="45"/>
        <v>Condo</v>
      </c>
      <c r="D142" s="1" t="str">
        <f t="shared" ca="1" si="46"/>
        <v>Laguna</v>
      </c>
      <c r="E142" s="1">
        <f t="shared" ref="E142:F161" ca="1" si="64">RANDBETWEEN(1,4)</f>
        <v>4</v>
      </c>
      <c r="F142" s="1">
        <f t="shared" ca="1" si="64"/>
        <v>4</v>
      </c>
      <c r="G142">
        <f t="shared" ca="1" si="47"/>
        <v>104</v>
      </c>
      <c r="H142">
        <f t="shared" ca="1" si="48"/>
        <v>78</v>
      </c>
      <c r="I142">
        <f t="shared" ca="1" si="49"/>
        <v>2010</v>
      </c>
      <c r="J142" s="2">
        <f t="shared" ca="1" si="50"/>
        <v>2206604</v>
      </c>
      <c r="K142" s="4">
        <f t="shared" ca="1" si="51"/>
        <v>6531573</v>
      </c>
      <c r="L142" t="str">
        <f t="shared" ca="1" si="52"/>
        <v>Rachel Villanueva</v>
      </c>
      <c r="M142" t="str">
        <f t="shared" ca="1" si="53"/>
        <v>Corporation</v>
      </c>
      <c r="N142" t="str">
        <f t="shared" ca="1" si="54"/>
        <v>Pag-IBIG Loan</v>
      </c>
      <c r="O142" s="1">
        <f t="shared" ca="1" si="55"/>
        <v>171</v>
      </c>
      <c r="P142" s="2">
        <f t="shared" ca="1" si="56"/>
        <v>195947.19</v>
      </c>
      <c r="Q142" s="2">
        <f t="shared" ca="1" si="57"/>
        <v>4324969</v>
      </c>
      <c r="R142" s="3">
        <f t="shared" ca="1" si="58"/>
        <v>62803.586538461539</v>
      </c>
      <c r="S142">
        <f t="shared" ca="1" si="59"/>
        <v>104</v>
      </c>
      <c r="T142" s="2">
        <f t="shared" ca="1" si="60"/>
        <v>2206602.0399885979</v>
      </c>
      <c r="U142" s="17">
        <f t="shared" si="63"/>
        <v>2019</v>
      </c>
      <c r="V142" s="20" t="str">
        <f t="shared" si="61"/>
        <v>Dec-2019</v>
      </c>
    </row>
    <row r="143" spans="1:22" x14ac:dyDescent="0.3">
      <c r="A143" t="str">
        <f t="shared" si="62"/>
        <v>TX-00143</v>
      </c>
      <c r="B143" s="6">
        <v>43630</v>
      </c>
      <c r="C143" t="str">
        <f t="shared" ca="1" si="45"/>
        <v>House &amp; Lot</v>
      </c>
      <c r="D143" s="1" t="str">
        <f t="shared" ca="1" si="46"/>
        <v>Laguna</v>
      </c>
      <c r="E143" s="1">
        <f t="shared" ca="1" si="64"/>
        <v>1</v>
      </c>
      <c r="F143" s="1">
        <f t="shared" ca="1" si="64"/>
        <v>1</v>
      </c>
      <c r="G143">
        <f t="shared" ca="1" si="47"/>
        <v>77</v>
      </c>
      <c r="H143">
        <f t="shared" ca="1" si="48"/>
        <v>213</v>
      </c>
      <c r="I143">
        <f t="shared" ca="1" si="49"/>
        <v>2019</v>
      </c>
      <c r="J143" s="2">
        <f t="shared" ca="1" si="50"/>
        <v>2771218</v>
      </c>
      <c r="K143" s="4">
        <f t="shared" ca="1" si="51"/>
        <v>4165745</v>
      </c>
      <c r="L143" t="str">
        <f t="shared" ca="1" si="52"/>
        <v>Mary Garcia</v>
      </c>
      <c r="M143" t="str">
        <f t="shared" ca="1" si="53"/>
        <v>Investor</v>
      </c>
      <c r="N143" t="str">
        <f t="shared" ca="1" si="54"/>
        <v>Cash</v>
      </c>
      <c r="O143" s="1">
        <f t="shared" ca="1" si="55"/>
        <v>140</v>
      </c>
      <c r="P143" s="2">
        <f t="shared" ca="1" si="56"/>
        <v>124972.34999999999</v>
      </c>
      <c r="Q143" s="2">
        <f t="shared" ca="1" si="57"/>
        <v>1394527</v>
      </c>
      <c r="R143" s="3">
        <f t="shared" ca="1" si="58"/>
        <v>19557.4882629108</v>
      </c>
      <c r="S143">
        <f t="shared" ca="1" si="59"/>
        <v>213</v>
      </c>
      <c r="T143" s="2">
        <f t="shared" ca="1" si="60"/>
        <v>2771217.4967819205</v>
      </c>
      <c r="U143" s="17">
        <f t="shared" si="63"/>
        <v>2019</v>
      </c>
      <c r="V143" s="20" t="str">
        <f t="shared" si="61"/>
        <v>Jun-2019</v>
      </c>
    </row>
    <row r="144" spans="1:22" x14ac:dyDescent="0.3">
      <c r="A144" t="str">
        <f t="shared" si="62"/>
        <v>TX-00144</v>
      </c>
      <c r="B144" s="6">
        <v>44842</v>
      </c>
      <c r="C144" t="str">
        <f t="shared" ca="1" si="45"/>
        <v>House &amp; Lot</v>
      </c>
      <c r="D144" s="1" t="str">
        <f t="shared" ca="1" si="46"/>
        <v>Laguna</v>
      </c>
      <c r="E144" s="1">
        <f t="shared" ca="1" si="64"/>
        <v>4</v>
      </c>
      <c r="F144" s="1">
        <f t="shared" ca="1" si="64"/>
        <v>1</v>
      </c>
      <c r="G144">
        <f t="shared" ca="1" si="47"/>
        <v>115</v>
      </c>
      <c r="H144">
        <f t="shared" ca="1" si="48"/>
        <v>162</v>
      </c>
      <c r="I144">
        <f t="shared" ca="1" si="49"/>
        <v>2015</v>
      </c>
      <c r="J144" s="2">
        <f t="shared" ca="1" si="50"/>
        <v>5310758</v>
      </c>
      <c r="K144" s="4">
        <f t="shared" ca="1" si="51"/>
        <v>6250751</v>
      </c>
      <c r="L144" t="str">
        <f t="shared" ca="1" si="52"/>
        <v>Michelle Flores</v>
      </c>
      <c r="M144" t="str">
        <f t="shared" ca="1" si="53"/>
        <v>Corporation</v>
      </c>
      <c r="N144" t="str">
        <f t="shared" ca="1" si="54"/>
        <v>Installment</v>
      </c>
      <c r="O144" s="1">
        <f t="shared" ca="1" si="55"/>
        <v>136</v>
      </c>
      <c r="P144" s="2">
        <f t="shared" ca="1" si="56"/>
        <v>187522.53</v>
      </c>
      <c r="Q144" s="2">
        <f t="shared" ca="1" si="57"/>
        <v>939993</v>
      </c>
      <c r="R144" s="3">
        <f t="shared" ca="1" si="58"/>
        <v>38584.882716049382</v>
      </c>
      <c r="S144">
        <f t="shared" ca="1" si="59"/>
        <v>162</v>
      </c>
      <c r="T144" s="2">
        <f t="shared" ca="1" si="60"/>
        <v>5310757.8230021028</v>
      </c>
      <c r="U144" s="17">
        <f t="shared" si="63"/>
        <v>2022</v>
      </c>
      <c r="V144" s="20" t="str">
        <f t="shared" si="61"/>
        <v>Oct-2022</v>
      </c>
    </row>
    <row r="145" spans="1:22" x14ac:dyDescent="0.3">
      <c r="A145" t="str">
        <f t="shared" si="62"/>
        <v>TX-00145</v>
      </c>
      <c r="B145" s="6">
        <v>45462</v>
      </c>
      <c r="C145" t="str">
        <f t="shared" ca="1" si="45"/>
        <v>Land</v>
      </c>
      <c r="D145" s="1" t="str">
        <f t="shared" ca="1" si="46"/>
        <v>Cavite</v>
      </c>
      <c r="E145" s="1">
        <f t="shared" ca="1" si="64"/>
        <v>3</v>
      </c>
      <c r="F145" s="1">
        <f t="shared" ca="1" si="64"/>
        <v>3</v>
      </c>
      <c r="G145">
        <f t="shared" ca="1" si="47"/>
        <v>129</v>
      </c>
      <c r="H145">
        <f t="shared" ca="1" si="48"/>
        <v>219</v>
      </c>
      <c r="I145">
        <f t="shared" ca="1" si="49"/>
        <v>2014</v>
      </c>
      <c r="J145" s="2">
        <f t="shared" ca="1" si="50"/>
        <v>7676629</v>
      </c>
      <c r="K145" s="4">
        <f t="shared" ca="1" si="51"/>
        <v>9588687</v>
      </c>
      <c r="L145" t="str">
        <f t="shared" ca="1" si="52"/>
        <v>Michael Santos</v>
      </c>
      <c r="M145" t="str">
        <f t="shared" ca="1" si="53"/>
        <v>OFW</v>
      </c>
      <c r="N145" t="str">
        <f t="shared" ca="1" si="54"/>
        <v>Installment</v>
      </c>
      <c r="O145" s="1">
        <f t="shared" ca="1" si="55"/>
        <v>225</v>
      </c>
      <c r="P145" s="2">
        <f t="shared" ca="1" si="56"/>
        <v>287660.61</v>
      </c>
      <c r="Q145" s="2">
        <f t="shared" ca="1" si="57"/>
        <v>1912058</v>
      </c>
      <c r="R145" s="3">
        <f t="shared" ca="1" si="58"/>
        <v>43783.95890410959</v>
      </c>
      <c r="S145">
        <f t="shared" ca="1" si="59"/>
        <v>219</v>
      </c>
      <c r="T145" s="2">
        <f t="shared" ca="1" si="60"/>
        <v>7676628.7509247875</v>
      </c>
      <c r="U145" s="17">
        <f t="shared" si="63"/>
        <v>2024</v>
      </c>
      <c r="V145" s="20" t="str">
        <f t="shared" si="61"/>
        <v>Jun-2024</v>
      </c>
    </row>
    <row r="146" spans="1:22" x14ac:dyDescent="0.3">
      <c r="A146" t="str">
        <f t="shared" si="62"/>
        <v>TX-00146</v>
      </c>
      <c r="B146" s="6">
        <v>45321</v>
      </c>
      <c r="C146" t="str">
        <f t="shared" ca="1" si="45"/>
        <v>Land</v>
      </c>
      <c r="D146" s="1" t="str">
        <f t="shared" ca="1" si="46"/>
        <v>Makati</v>
      </c>
      <c r="E146" s="1">
        <f t="shared" ca="1" si="64"/>
        <v>3</v>
      </c>
      <c r="F146" s="1">
        <f t="shared" ca="1" si="64"/>
        <v>3</v>
      </c>
      <c r="G146">
        <f t="shared" ca="1" si="47"/>
        <v>129</v>
      </c>
      <c r="H146">
        <f t="shared" ca="1" si="48"/>
        <v>142</v>
      </c>
      <c r="I146">
        <f t="shared" ca="1" si="49"/>
        <v>2010</v>
      </c>
      <c r="J146" s="2">
        <f t="shared" ca="1" si="50"/>
        <v>14507269</v>
      </c>
      <c r="K146" s="4">
        <f t="shared" ca="1" si="51"/>
        <v>8637707</v>
      </c>
      <c r="L146" t="str">
        <f t="shared" ca="1" si="52"/>
        <v>Mary Garcia</v>
      </c>
      <c r="M146" t="str">
        <f t="shared" ca="1" si="53"/>
        <v>Individual</v>
      </c>
      <c r="N146" t="str">
        <f t="shared" ca="1" si="54"/>
        <v>Bank Loan</v>
      </c>
      <c r="O146" s="1">
        <f t="shared" ca="1" si="55"/>
        <v>181</v>
      </c>
      <c r="P146" s="2">
        <f t="shared" ca="1" si="56"/>
        <v>259131.21</v>
      </c>
      <c r="Q146" s="2">
        <f t="shared" ca="1" si="57"/>
        <v>-5869562</v>
      </c>
      <c r="R146" s="3">
        <f t="shared" ca="1" si="58"/>
        <v>60828.92253521127</v>
      </c>
      <c r="S146">
        <f t="shared" ca="1" si="59"/>
        <v>142</v>
      </c>
      <c r="T146" s="2">
        <f t="shared" ca="1" si="60"/>
        <v>14507269.404594552</v>
      </c>
      <c r="U146" s="17">
        <f t="shared" si="63"/>
        <v>2024</v>
      </c>
      <c r="V146" s="20" t="str">
        <f t="shared" si="61"/>
        <v>Jan-2024</v>
      </c>
    </row>
    <row r="147" spans="1:22" x14ac:dyDescent="0.3">
      <c r="A147" t="str">
        <f t="shared" si="62"/>
        <v>TX-00147</v>
      </c>
      <c r="B147" s="6">
        <v>43864</v>
      </c>
      <c r="C147" t="str">
        <f t="shared" ca="1" si="45"/>
        <v>Commercial</v>
      </c>
      <c r="D147" s="1" t="str">
        <f t="shared" ca="1" si="46"/>
        <v>Makati</v>
      </c>
      <c r="E147" s="1">
        <f t="shared" ca="1" si="64"/>
        <v>1</v>
      </c>
      <c r="F147" s="1">
        <f t="shared" ca="1" si="64"/>
        <v>4</v>
      </c>
      <c r="G147">
        <f t="shared" ca="1" si="47"/>
        <v>142</v>
      </c>
      <c r="H147">
        <f t="shared" ca="1" si="48"/>
        <v>228</v>
      </c>
      <c r="I147">
        <f t="shared" ca="1" si="49"/>
        <v>2012</v>
      </c>
      <c r="J147" s="2">
        <f t="shared" ca="1" si="50"/>
        <v>11460910</v>
      </c>
      <c r="K147" s="4">
        <f t="shared" ca="1" si="51"/>
        <v>5383036</v>
      </c>
      <c r="L147" t="str">
        <f t="shared" ca="1" si="52"/>
        <v>Rachel Villanueva</v>
      </c>
      <c r="M147" t="str">
        <f t="shared" ca="1" si="53"/>
        <v>Corporation</v>
      </c>
      <c r="N147" t="str">
        <f t="shared" ca="1" si="54"/>
        <v>Cash</v>
      </c>
      <c r="O147" s="1">
        <f t="shared" ca="1" si="55"/>
        <v>101</v>
      </c>
      <c r="P147" s="2">
        <f t="shared" ca="1" si="56"/>
        <v>161491.07999999999</v>
      </c>
      <c r="Q147" s="2">
        <f t="shared" ca="1" si="57"/>
        <v>-6077874</v>
      </c>
      <c r="R147" s="3">
        <f t="shared" ca="1" si="58"/>
        <v>23609.807017543859</v>
      </c>
      <c r="S147">
        <f t="shared" ca="1" si="59"/>
        <v>228</v>
      </c>
      <c r="T147" s="2">
        <f t="shared" ca="1" si="60"/>
        <v>11460910.530313388</v>
      </c>
      <c r="U147" s="17">
        <f t="shared" si="63"/>
        <v>2020</v>
      </c>
      <c r="V147" s="20" t="str">
        <f t="shared" si="61"/>
        <v>Feb-2020</v>
      </c>
    </row>
    <row r="148" spans="1:22" x14ac:dyDescent="0.3">
      <c r="A148" t="str">
        <f t="shared" si="62"/>
        <v>TX-00148</v>
      </c>
      <c r="B148" s="6">
        <v>44706</v>
      </c>
      <c r="C148" t="str">
        <f t="shared" ca="1" si="45"/>
        <v>Commercial</v>
      </c>
      <c r="D148" s="1" t="str">
        <f t="shared" ca="1" si="46"/>
        <v>Laguna</v>
      </c>
      <c r="E148" s="1">
        <f t="shared" ca="1" si="64"/>
        <v>1</v>
      </c>
      <c r="F148" s="1">
        <f t="shared" ca="1" si="64"/>
        <v>2</v>
      </c>
      <c r="G148">
        <f t="shared" ca="1" si="47"/>
        <v>68</v>
      </c>
      <c r="H148">
        <f t="shared" ca="1" si="48"/>
        <v>244</v>
      </c>
      <c r="I148">
        <f t="shared" ca="1" si="49"/>
        <v>2023</v>
      </c>
      <c r="J148" s="2">
        <f t="shared" ca="1" si="50"/>
        <v>11249036</v>
      </c>
      <c r="K148" s="4">
        <f t="shared" ca="1" si="51"/>
        <v>2384026</v>
      </c>
      <c r="L148" t="str">
        <f t="shared" ca="1" si="52"/>
        <v>Mark Reyes</v>
      </c>
      <c r="M148" t="str">
        <f t="shared" ca="1" si="53"/>
        <v>OFW</v>
      </c>
      <c r="N148" t="str">
        <f t="shared" ca="1" si="54"/>
        <v>Pag-IBIG Loan</v>
      </c>
      <c r="O148" s="1">
        <f t="shared" ca="1" si="55"/>
        <v>240</v>
      </c>
      <c r="P148" s="2">
        <f t="shared" ca="1" si="56"/>
        <v>71520.78</v>
      </c>
      <c r="Q148" s="2">
        <f t="shared" ca="1" si="57"/>
        <v>-8865010</v>
      </c>
      <c r="R148" s="3">
        <f t="shared" ca="1" si="58"/>
        <v>9770.5983606557384</v>
      </c>
      <c r="S148">
        <f t="shared" ca="1" si="59"/>
        <v>244</v>
      </c>
      <c r="T148" s="2">
        <f t="shared" ca="1" si="60"/>
        <v>11249036.788068417</v>
      </c>
      <c r="U148" s="17">
        <f t="shared" si="63"/>
        <v>2022</v>
      </c>
      <c r="V148" s="20" t="str">
        <f t="shared" si="61"/>
        <v>May-2022</v>
      </c>
    </row>
    <row r="149" spans="1:22" x14ac:dyDescent="0.3">
      <c r="A149" t="str">
        <f t="shared" si="62"/>
        <v>TX-00149</v>
      </c>
      <c r="B149" s="6">
        <v>45791</v>
      </c>
      <c r="C149" t="str">
        <f t="shared" ca="1" si="45"/>
        <v>House &amp; Lot</v>
      </c>
      <c r="D149" s="1" t="str">
        <f t="shared" ca="1" si="46"/>
        <v>Laguna</v>
      </c>
      <c r="E149" s="1">
        <f t="shared" ca="1" si="64"/>
        <v>3</v>
      </c>
      <c r="F149" s="1">
        <f t="shared" ca="1" si="64"/>
        <v>1</v>
      </c>
      <c r="G149">
        <f t="shared" ca="1" si="47"/>
        <v>110</v>
      </c>
      <c r="H149">
        <f t="shared" ca="1" si="48"/>
        <v>130</v>
      </c>
      <c r="I149">
        <f t="shared" ca="1" si="49"/>
        <v>2023</v>
      </c>
      <c r="J149" s="2">
        <f t="shared" ca="1" si="50"/>
        <v>8135055</v>
      </c>
      <c r="K149" s="4">
        <f t="shared" ca="1" si="51"/>
        <v>5655780</v>
      </c>
      <c r="L149" t="str">
        <f t="shared" ca="1" si="52"/>
        <v>Michelle Flores</v>
      </c>
      <c r="M149" t="str">
        <f t="shared" ca="1" si="53"/>
        <v>Corporation</v>
      </c>
      <c r="N149" t="str">
        <f t="shared" ca="1" si="54"/>
        <v>Installment</v>
      </c>
      <c r="O149" s="1">
        <f t="shared" ca="1" si="55"/>
        <v>222</v>
      </c>
      <c r="P149" s="2">
        <f t="shared" ca="1" si="56"/>
        <v>169673.4</v>
      </c>
      <c r="Q149" s="2">
        <f t="shared" ca="1" si="57"/>
        <v>-2479275</v>
      </c>
      <c r="R149" s="3">
        <f t="shared" ca="1" si="58"/>
        <v>43506</v>
      </c>
      <c r="S149">
        <f t="shared" ca="1" si="59"/>
        <v>130</v>
      </c>
      <c r="T149" s="2">
        <f t="shared" ca="1" si="60"/>
        <v>8135055.3047643807</v>
      </c>
      <c r="U149" s="17">
        <f t="shared" si="63"/>
        <v>2025</v>
      </c>
      <c r="V149" s="20" t="str">
        <f t="shared" si="61"/>
        <v>May-2025</v>
      </c>
    </row>
    <row r="150" spans="1:22" x14ac:dyDescent="0.3">
      <c r="A150" t="str">
        <f t="shared" si="62"/>
        <v>TX-00150</v>
      </c>
      <c r="B150" s="6">
        <v>44013</v>
      </c>
      <c r="C150" t="str">
        <f t="shared" ca="1" si="45"/>
        <v>Land</v>
      </c>
      <c r="D150" s="1" t="str">
        <f t="shared" ca="1" si="46"/>
        <v>Makati</v>
      </c>
      <c r="E150" s="1">
        <f t="shared" ca="1" si="64"/>
        <v>2</v>
      </c>
      <c r="F150" s="1">
        <f t="shared" ca="1" si="64"/>
        <v>3</v>
      </c>
      <c r="G150">
        <f t="shared" ca="1" si="47"/>
        <v>195</v>
      </c>
      <c r="H150">
        <f t="shared" ca="1" si="48"/>
        <v>241</v>
      </c>
      <c r="I150">
        <f t="shared" ca="1" si="49"/>
        <v>2014</v>
      </c>
      <c r="J150" s="2">
        <f t="shared" ca="1" si="50"/>
        <v>11612353</v>
      </c>
      <c r="K150" s="4">
        <f t="shared" ca="1" si="51"/>
        <v>9728286</v>
      </c>
      <c r="L150" t="str">
        <f t="shared" ca="1" si="52"/>
        <v>John Dela Cruz</v>
      </c>
      <c r="M150" t="str">
        <f t="shared" ca="1" si="53"/>
        <v>Individual</v>
      </c>
      <c r="N150" t="str">
        <f t="shared" ca="1" si="54"/>
        <v>Cash</v>
      </c>
      <c r="O150" s="1">
        <f t="shared" ca="1" si="55"/>
        <v>318</v>
      </c>
      <c r="P150" s="2">
        <f t="shared" ca="1" si="56"/>
        <v>291848.58</v>
      </c>
      <c r="Q150" s="2">
        <f t="shared" ca="1" si="57"/>
        <v>-1884067</v>
      </c>
      <c r="R150" s="3">
        <f t="shared" ca="1" si="58"/>
        <v>40366.331950207466</v>
      </c>
      <c r="S150">
        <f t="shared" ca="1" si="59"/>
        <v>241</v>
      </c>
      <c r="T150" s="2">
        <f t="shared" ca="1" si="60"/>
        <v>11612353.16224679</v>
      </c>
      <c r="U150" s="17">
        <f t="shared" si="63"/>
        <v>2020</v>
      </c>
      <c r="V150" s="20" t="str">
        <f t="shared" si="61"/>
        <v>Jul-2020</v>
      </c>
    </row>
    <row r="151" spans="1:22" x14ac:dyDescent="0.3">
      <c r="A151" t="str">
        <f t="shared" si="62"/>
        <v>TX-00151</v>
      </c>
      <c r="B151" s="6">
        <v>44155</v>
      </c>
      <c r="C151" t="str">
        <f t="shared" ca="1" si="45"/>
        <v>Land</v>
      </c>
      <c r="D151" s="1" t="str">
        <f t="shared" ca="1" si="46"/>
        <v>Bulacan</v>
      </c>
      <c r="E151" s="1">
        <f t="shared" ca="1" si="64"/>
        <v>4</v>
      </c>
      <c r="F151" s="1">
        <f t="shared" ca="1" si="64"/>
        <v>2</v>
      </c>
      <c r="G151">
        <f t="shared" ca="1" si="47"/>
        <v>52</v>
      </c>
      <c r="H151">
        <f t="shared" ca="1" si="48"/>
        <v>82</v>
      </c>
      <c r="I151">
        <f t="shared" ca="1" si="49"/>
        <v>2019</v>
      </c>
      <c r="J151" s="2">
        <f t="shared" ca="1" si="50"/>
        <v>13130127</v>
      </c>
      <c r="K151" s="4">
        <f t="shared" ca="1" si="51"/>
        <v>1831753</v>
      </c>
      <c r="L151" t="str">
        <f t="shared" ca="1" si="52"/>
        <v>Mark Reyes</v>
      </c>
      <c r="M151" t="str">
        <f t="shared" ca="1" si="53"/>
        <v>Investor</v>
      </c>
      <c r="N151" t="str">
        <f t="shared" ca="1" si="54"/>
        <v>Bank Loan</v>
      </c>
      <c r="O151" s="1">
        <f t="shared" ca="1" si="55"/>
        <v>137</v>
      </c>
      <c r="P151" s="2">
        <f t="shared" ca="1" si="56"/>
        <v>54952.59</v>
      </c>
      <c r="Q151" s="2">
        <f t="shared" ca="1" si="57"/>
        <v>-11298374</v>
      </c>
      <c r="R151" s="3">
        <f t="shared" ca="1" si="58"/>
        <v>22338.451219512193</v>
      </c>
      <c r="S151">
        <f t="shared" ca="1" si="59"/>
        <v>82</v>
      </c>
      <c r="T151" s="2">
        <f t="shared" ca="1" si="60"/>
        <v>13130127.860492362</v>
      </c>
      <c r="U151" s="17">
        <f t="shared" si="63"/>
        <v>2020</v>
      </c>
      <c r="V151" s="20" t="str">
        <f t="shared" si="61"/>
        <v>Nov-2020</v>
      </c>
    </row>
    <row r="152" spans="1:22" x14ac:dyDescent="0.3">
      <c r="A152" t="str">
        <f t="shared" si="62"/>
        <v>TX-00152</v>
      </c>
      <c r="B152" s="6">
        <v>44496</v>
      </c>
      <c r="C152" t="str">
        <f t="shared" ca="1" si="45"/>
        <v>Land</v>
      </c>
      <c r="D152" s="1" t="str">
        <f t="shared" ca="1" si="46"/>
        <v>Makati</v>
      </c>
      <c r="E152" s="1">
        <f t="shared" ca="1" si="64"/>
        <v>2</v>
      </c>
      <c r="F152" s="1">
        <f t="shared" ca="1" si="64"/>
        <v>1</v>
      </c>
      <c r="G152">
        <f t="shared" ca="1" si="47"/>
        <v>119</v>
      </c>
      <c r="H152">
        <f t="shared" ca="1" si="48"/>
        <v>68</v>
      </c>
      <c r="I152">
        <f t="shared" ca="1" si="49"/>
        <v>2019</v>
      </c>
      <c r="J152" s="2">
        <f t="shared" ca="1" si="50"/>
        <v>5128493</v>
      </c>
      <c r="K152" s="4">
        <f t="shared" ca="1" si="51"/>
        <v>5680392</v>
      </c>
      <c r="L152" t="str">
        <f t="shared" ca="1" si="52"/>
        <v>Joy Ramos</v>
      </c>
      <c r="M152" t="str">
        <f t="shared" ca="1" si="53"/>
        <v>Corporation</v>
      </c>
      <c r="N152" t="str">
        <f t="shared" ca="1" si="54"/>
        <v>Pag-IBIG Loan</v>
      </c>
      <c r="O152" s="1">
        <f t="shared" ca="1" si="55"/>
        <v>325</v>
      </c>
      <c r="P152" s="2">
        <f t="shared" ca="1" si="56"/>
        <v>170411.75999999998</v>
      </c>
      <c r="Q152" s="2">
        <f t="shared" ca="1" si="57"/>
        <v>551899</v>
      </c>
      <c r="R152" s="3">
        <f t="shared" ca="1" si="58"/>
        <v>83535.176470588238</v>
      </c>
      <c r="S152">
        <f t="shared" ca="1" si="59"/>
        <v>68</v>
      </c>
      <c r="T152" s="2">
        <f t="shared" ca="1" si="60"/>
        <v>5128492.8923857361</v>
      </c>
      <c r="U152" s="17">
        <f t="shared" si="63"/>
        <v>2021</v>
      </c>
      <c r="V152" s="20" t="str">
        <f t="shared" si="61"/>
        <v>Oct-2021</v>
      </c>
    </row>
    <row r="153" spans="1:22" x14ac:dyDescent="0.3">
      <c r="A153" t="str">
        <f t="shared" si="62"/>
        <v>TX-00153</v>
      </c>
      <c r="B153" s="6">
        <v>45830</v>
      </c>
      <c r="C153" t="str">
        <f t="shared" ca="1" si="45"/>
        <v>Commercial</v>
      </c>
      <c r="D153" s="1" t="str">
        <f t="shared" ca="1" si="46"/>
        <v>Laguna</v>
      </c>
      <c r="E153" s="1">
        <f t="shared" ca="1" si="64"/>
        <v>3</v>
      </c>
      <c r="F153" s="1">
        <f t="shared" ca="1" si="64"/>
        <v>3</v>
      </c>
      <c r="G153">
        <f t="shared" ca="1" si="47"/>
        <v>151</v>
      </c>
      <c r="H153">
        <f t="shared" ca="1" si="48"/>
        <v>129</v>
      </c>
      <c r="I153">
        <f t="shared" ca="1" si="49"/>
        <v>2022</v>
      </c>
      <c r="J153" s="2">
        <f t="shared" ca="1" si="50"/>
        <v>2386037</v>
      </c>
      <c r="K153" s="4">
        <f t="shared" ca="1" si="51"/>
        <v>3051039</v>
      </c>
      <c r="L153" t="str">
        <f t="shared" ca="1" si="52"/>
        <v>Michael Santos</v>
      </c>
      <c r="M153" t="str">
        <f t="shared" ca="1" si="53"/>
        <v>OFW</v>
      </c>
      <c r="N153" t="str">
        <f t="shared" ca="1" si="54"/>
        <v>Pag-IBIG Loan</v>
      </c>
      <c r="O153" s="1">
        <f t="shared" ca="1" si="55"/>
        <v>237</v>
      </c>
      <c r="P153" s="2">
        <f t="shared" ca="1" si="56"/>
        <v>91531.17</v>
      </c>
      <c r="Q153" s="2">
        <f t="shared" ca="1" si="57"/>
        <v>665002</v>
      </c>
      <c r="R153" s="3">
        <f t="shared" ca="1" si="58"/>
        <v>23651.465116279069</v>
      </c>
      <c r="S153">
        <f t="shared" ca="1" si="59"/>
        <v>129</v>
      </c>
      <c r="T153" s="2">
        <f t="shared" ca="1" si="60"/>
        <v>2386036.7212943472</v>
      </c>
      <c r="U153" s="17">
        <f t="shared" si="63"/>
        <v>2025</v>
      </c>
      <c r="V153" s="20" t="str">
        <f t="shared" si="61"/>
        <v>Jun-2025</v>
      </c>
    </row>
    <row r="154" spans="1:22" x14ac:dyDescent="0.3">
      <c r="A154" t="str">
        <f t="shared" si="62"/>
        <v>TX-00154</v>
      </c>
      <c r="B154" s="6">
        <v>44778</v>
      </c>
      <c r="C154" t="str">
        <f t="shared" ca="1" si="45"/>
        <v>Commercial</v>
      </c>
      <c r="D154" s="1" t="str">
        <f t="shared" ca="1" si="46"/>
        <v>Laguna</v>
      </c>
      <c r="E154" s="1">
        <f t="shared" ca="1" si="64"/>
        <v>1</v>
      </c>
      <c r="F154" s="1">
        <f t="shared" ca="1" si="64"/>
        <v>3</v>
      </c>
      <c r="G154">
        <f t="shared" ca="1" si="47"/>
        <v>111</v>
      </c>
      <c r="H154">
        <f t="shared" ca="1" si="48"/>
        <v>216</v>
      </c>
      <c r="I154">
        <f t="shared" ca="1" si="49"/>
        <v>2011</v>
      </c>
      <c r="J154" s="2">
        <f t="shared" ca="1" si="50"/>
        <v>7953025</v>
      </c>
      <c r="K154" s="4">
        <f t="shared" ca="1" si="51"/>
        <v>4125774</v>
      </c>
      <c r="L154" t="str">
        <f t="shared" ca="1" si="52"/>
        <v>Anna Mendoza</v>
      </c>
      <c r="M154" t="str">
        <f t="shared" ca="1" si="53"/>
        <v>Investor</v>
      </c>
      <c r="N154" t="str">
        <f t="shared" ca="1" si="54"/>
        <v>Bank Loan</v>
      </c>
      <c r="O154" s="1">
        <f t="shared" ca="1" si="55"/>
        <v>306</v>
      </c>
      <c r="P154" s="2">
        <f t="shared" ca="1" si="56"/>
        <v>123773.22</v>
      </c>
      <c r="Q154" s="2">
        <f t="shared" ca="1" si="57"/>
        <v>-3827251</v>
      </c>
      <c r="R154" s="3">
        <f t="shared" ca="1" si="58"/>
        <v>19100.805555555555</v>
      </c>
      <c r="S154">
        <f t="shared" ca="1" si="59"/>
        <v>216</v>
      </c>
      <c r="T154" s="2">
        <f t="shared" ca="1" si="60"/>
        <v>7953025.4812321095</v>
      </c>
      <c r="U154" s="17">
        <f t="shared" si="63"/>
        <v>2022</v>
      </c>
      <c r="V154" s="20" t="str">
        <f t="shared" si="61"/>
        <v>Aug-2022</v>
      </c>
    </row>
    <row r="155" spans="1:22" x14ac:dyDescent="0.3">
      <c r="A155" t="str">
        <f t="shared" si="62"/>
        <v>TX-00155</v>
      </c>
      <c r="B155" s="6">
        <v>44442</v>
      </c>
      <c r="C155" t="str">
        <f t="shared" ca="1" si="45"/>
        <v>Condo</v>
      </c>
      <c r="D155" s="1" t="str">
        <f t="shared" ca="1" si="46"/>
        <v>Bulacan</v>
      </c>
      <c r="E155" s="1">
        <f t="shared" ca="1" si="64"/>
        <v>1</v>
      </c>
      <c r="F155" s="1">
        <f t="shared" ca="1" si="64"/>
        <v>2</v>
      </c>
      <c r="G155">
        <f t="shared" ca="1" si="47"/>
        <v>163</v>
      </c>
      <c r="H155">
        <f t="shared" ca="1" si="48"/>
        <v>212</v>
      </c>
      <c r="I155">
        <f t="shared" ca="1" si="49"/>
        <v>2023</v>
      </c>
      <c r="J155" s="2">
        <f t="shared" ca="1" si="50"/>
        <v>3479087</v>
      </c>
      <c r="K155" s="4">
        <f t="shared" ca="1" si="51"/>
        <v>9278130</v>
      </c>
      <c r="L155" t="str">
        <f t="shared" ca="1" si="52"/>
        <v>Mark Reyes</v>
      </c>
      <c r="M155" t="str">
        <f t="shared" ca="1" si="53"/>
        <v>Corporation</v>
      </c>
      <c r="N155" t="str">
        <f t="shared" ca="1" si="54"/>
        <v>Pag-IBIG Loan</v>
      </c>
      <c r="O155" s="1">
        <f t="shared" ca="1" si="55"/>
        <v>128</v>
      </c>
      <c r="P155" s="2">
        <f t="shared" ca="1" si="56"/>
        <v>278343.89999999997</v>
      </c>
      <c r="Q155" s="2">
        <f t="shared" ca="1" si="57"/>
        <v>5799043</v>
      </c>
      <c r="R155" s="3">
        <f t="shared" ca="1" si="58"/>
        <v>56921.042944785273</v>
      </c>
      <c r="S155">
        <f t="shared" ca="1" si="59"/>
        <v>163</v>
      </c>
      <c r="T155" s="2">
        <f t="shared" ca="1" si="60"/>
        <v>3479085.33317103</v>
      </c>
      <c r="U155" s="17">
        <f t="shared" si="63"/>
        <v>2021</v>
      </c>
      <c r="V155" s="20" t="str">
        <f t="shared" si="61"/>
        <v>Sep-2021</v>
      </c>
    </row>
    <row r="156" spans="1:22" x14ac:dyDescent="0.3">
      <c r="A156" t="str">
        <f t="shared" si="62"/>
        <v>TX-00156</v>
      </c>
      <c r="B156" s="6">
        <v>44660</v>
      </c>
      <c r="C156" t="str">
        <f t="shared" ca="1" si="45"/>
        <v>House &amp; Lot</v>
      </c>
      <c r="D156" s="1" t="str">
        <f t="shared" ca="1" si="46"/>
        <v>Laguna</v>
      </c>
      <c r="E156" s="1">
        <f t="shared" ca="1" si="64"/>
        <v>2</v>
      </c>
      <c r="F156" s="1">
        <f t="shared" ca="1" si="64"/>
        <v>1</v>
      </c>
      <c r="G156">
        <f t="shared" ca="1" si="47"/>
        <v>42</v>
      </c>
      <c r="H156">
        <f t="shared" ca="1" si="48"/>
        <v>141</v>
      </c>
      <c r="I156">
        <f t="shared" ca="1" si="49"/>
        <v>2014</v>
      </c>
      <c r="J156" s="2">
        <f t="shared" ca="1" si="50"/>
        <v>8705034</v>
      </c>
      <c r="K156" s="4">
        <f t="shared" ca="1" si="51"/>
        <v>2691953</v>
      </c>
      <c r="L156" t="str">
        <f t="shared" ca="1" si="52"/>
        <v>Michael Santos</v>
      </c>
      <c r="M156" t="str">
        <f t="shared" ca="1" si="53"/>
        <v>Individual</v>
      </c>
      <c r="N156" t="str">
        <f t="shared" ca="1" si="54"/>
        <v>Cash</v>
      </c>
      <c r="O156" s="1">
        <f t="shared" ca="1" si="55"/>
        <v>344</v>
      </c>
      <c r="P156" s="2">
        <f t="shared" ca="1" si="56"/>
        <v>80758.59</v>
      </c>
      <c r="Q156" s="2">
        <f t="shared" ca="1" si="57"/>
        <v>-6013081</v>
      </c>
      <c r="R156" s="3">
        <f t="shared" ca="1" si="58"/>
        <v>19091.86524822695</v>
      </c>
      <c r="S156">
        <f t="shared" ca="1" si="59"/>
        <v>141</v>
      </c>
      <c r="T156" s="2">
        <f t="shared" ca="1" si="60"/>
        <v>8705034.6907590479</v>
      </c>
      <c r="U156" s="17">
        <f t="shared" si="63"/>
        <v>2022</v>
      </c>
      <c r="V156" s="20" t="str">
        <f t="shared" si="61"/>
        <v>Apr-2022</v>
      </c>
    </row>
    <row r="157" spans="1:22" x14ac:dyDescent="0.3">
      <c r="A157" t="str">
        <f t="shared" si="62"/>
        <v>TX-00157</v>
      </c>
      <c r="B157" s="6">
        <v>44386</v>
      </c>
      <c r="C157" t="str">
        <f t="shared" ca="1" si="45"/>
        <v>Condo</v>
      </c>
      <c r="D157" s="1" t="str">
        <f t="shared" ca="1" si="46"/>
        <v>Bulacan</v>
      </c>
      <c r="E157" s="1">
        <f t="shared" ca="1" si="64"/>
        <v>1</v>
      </c>
      <c r="F157" s="1">
        <f t="shared" ca="1" si="64"/>
        <v>3</v>
      </c>
      <c r="G157">
        <f t="shared" ca="1" si="47"/>
        <v>103</v>
      </c>
      <c r="H157">
        <f t="shared" ca="1" si="48"/>
        <v>243</v>
      </c>
      <c r="I157">
        <f t="shared" ca="1" si="49"/>
        <v>2016</v>
      </c>
      <c r="J157" s="2">
        <f t="shared" ca="1" si="50"/>
        <v>12885780</v>
      </c>
      <c r="K157" s="4">
        <f t="shared" ca="1" si="51"/>
        <v>4534292</v>
      </c>
      <c r="L157" t="str">
        <f t="shared" ca="1" si="52"/>
        <v>Joy Ramos</v>
      </c>
      <c r="M157" t="str">
        <f t="shared" ca="1" si="53"/>
        <v>Individual</v>
      </c>
      <c r="N157" t="str">
        <f t="shared" ca="1" si="54"/>
        <v>Bank Loan</v>
      </c>
      <c r="O157" s="1">
        <f t="shared" ca="1" si="55"/>
        <v>390</v>
      </c>
      <c r="P157" s="2">
        <f t="shared" ca="1" si="56"/>
        <v>136028.76</v>
      </c>
      <c r="Q157" s="2">
        <f t="shared" ca="1" si="57"/>
        <v>-8351488</v>
      </c>
      <c r="R157" s="3">
        <f t="shared" ca="1" si="58"/>
        <v>44022.252427184467</v>
      </c>
      <c r="S157">
        <f t="shared" ca="1" si="59"/>
        <v>103</v>
      </c>
      <c r="T157" s="2">
        <f t="shared" ca="1" si="60"/>
        <v>12885780.648116605</v>
      </c>
      <c r="U157" s="17">
        <f t="shared" si="63"/>
        <v>2021</v>
      </c>
      <c r="V157" s="20" t="str">
        <f t="shared" si="61"/>
        <v>Jul-2021</v>
      </c>
    </row>
    <row r="158" spans="1:22" x14ac:dyDescent="0.3">
      <c r="A158" t="str">
        <f t="shared" si="62"/>
        <v>TX-00158</v>
      </c>
      <c r="B158" s="6">
        <v>45375</v>
      </c>
      <c r="C158" t="str">
        <f t="shared" ca="1" si="45"/>
        <v>Commercial</v>
      </c>
      <c r="D158" s="1" t="str">
        <f t="shared" ca="1" si="46"/>
        <v>Laguna</v>
      </c>
      <c r="E158" s="1">
        <f t="shared" ca="1" si="64"/>
        <v>3</v>
      </c>
      <c r="F158" s="1">
        <f t="shared" ca="1" si="64"/>
        <v>1</v>
      </c>
      <c r="G158">
        <f t="shared" ca="1" si="47"/>
        <v>183</v>
      </c>
      <c r="H158">
        <f t="shared" ca="1" si="48"/>
        <v>217</v>
      </c>
      <c r="I158">
        <f t="shared" ca="1" si="49"/>
        <v>2018</v>
      </c>
      <c r="J158" s="2">
        <f t="shared" ca="1" si="50"/>
        <v>9224271</v>
      </c>
      <c r="K158" s="4">
        <f t="shared" ca="1" si="51"/>
        <v>3909321</v>
      </c>
      <c r="L158" t="str">
        <f t="shared" ca="1" si="52"/>
        <v>Mark Reyes</v>
      </c>
      <c r="M158" t="str">
        <f t="shared" ca="1" si="53"/>
        <v>OFW</v>
      </c>
      <c r="N158" t="str">
        <f t="shared" ca="1" si="54"/>
        <v>Cash</v>
      </c>
      <c r="O158" s="1">
        <f t="shared" ca="1" si="55"/>
        <v>362</v>
      </c>
      <c r="P158" s="2">
        <f t="shared" ca="1" si="56"/>
        <v>117279.62999999999</v>
      </c>
      <c r="Q158" s="2">
        <f t="shared" ca="1" si="57"/>
        <v>-5314950</v>
      </c>
      <c r="R158" s="3">
        <f t="shared" ca="1" si="58"/>
        <v>18015.304147465438</v>
      </c>
      <c r="S158">
        <f t="shared" ca="1" si="59"/>
        <v>217</v>
      </c>
      <c r="T158" s="2">
        <f t="shared" ca="1" si="60"/>
        <v>9224271.5761918742</v>
      </c>
      <c r="U158" s="17">
        <f t="shared" si="63"/>
        <v>2024</v>
      </c>
      <c r="V158" s="20" t="str">
        <f t="shared" si="61"/>
        <v>Mar-2024</v>
      </c>
    </row>
    <row r="159" spans="1:22" x14ac:dyDescent="0.3">
      <c r="A159" t="str">
        <f t="shared" si="62"/>
        <v>TX-00159</v>
      </c>
      <c r="B159" s="6">
        <v>43699</v>
      </c>
      <c r="C159" t="str">
        <f t="shared" ca="1" si="45"/>
        <v>House &amp; Lot</v>
      </c>
      <c r="D159" s="1" t="str">
        <f t="shared" ca="1" si="46"/>
        <v>Cavite</v>
      </c>
      <c r="E159" s="1">
        <f t="shared" ca="1" si="64"/>
        <v>1</v>
      </c>
      <c r="F159" s="1">
        <f t="shared" ca="1" si="64"/>
        <v>1</v>
      </c>
      <c r="G159">
        <f t="shared" ca="1" si="47"/>
        <v>153</v>
      </c>
      <c r="H159">
        <f t="shared" ca="1" si="48"/>
        <v>227</v>
      </c>
      <c r="I159">
        <f t="shared" ca="1" si="49"/>
        <v>2013</v>
      </c>
      <c r="J159" s="2">
        <f t="shared" ca="1" si="50"/>
        <v>13484718</v>
      </c>
      <c r="K159" s="4">
        <f t="shared" ca="1" si="51"/>
        <v>11298576</v>
      </c>
      <c r="L159" t="str">
        <f t="shared" ca="1" si="52"/>
        <v>John Dela Cruz</v>
      </c>
      <c r="M159" t="str">
        <f t="shared" ca="1" si="53"/>
        <v>Corporation</v>
      </c>
      <c r="N159" t="str">
        <f t="shared" ca="1" si="54"/>
        <v>Installment</v>
      </c>
      <c r="O159" s="1">
        <f t="shared" ca="1" si="55"/>
        <v>200</v>
      </c>
      <c r="P159" s="2">
        <f t="shared" ca="1" si="56"/>
        <v>338957.27999999997</v>
      </c>
      <c r="Q159" s="2">
        <f t="shared" ca="1" si="57"/>
        <v>-2186142</v>
      </c>
      <c r="R159" s="3">
        <f t="shared" ca="1" si="58"/>
        <v>49773.462555066078</v>
      </c>
      <c r="S159">
        <f t="shared" ca="1" si="59"/>
        <v>227</v>
      </c>
      <c r="T159" s="2">
        <f t="shared" ca="1" si="60"/>
        <v>13484718.162119964</v>
      </c>
      <c r="U159" s="17">
        <f t="shared" si="63"/>
        <v>2019</v>
      </c>
      <c r="V159" s="20" t="str">
        <f t="shared" si="61"/>
        <v>Aug-2019</v>
      </c>
    </row>
    <row r="160" spans="1:22" x14ac:dyDescent="0.3">
      <c r="A160" t="str">
        <f t="shared" si="62"/>
        <v>TX-00160</v>
      </c>
      <c r="B160" s="6">
        <v>43762</v>
      </c>
      <c r="C160" t="str">
        <f t="shared" ca="1" si="45"/>
        <v>Commercial</v>
      </c>
      <c r="D160" s="1" t="str">
        <f t="shared" ca="1" si="46"/>
        <v>Bulacan</v>
      </c>
      <c r="E160" s="1">
        <f t="shared" ca="1" si="64"/>
        <v>3</v>
      </c>
      <c r="F160" s="1">
        <f t="shared" ca="1" si="64"/>
        <v>4</v>
      </c>
      <c r="G160">
        <f t="shared" ca="1" si="47"/>
        <v>166</v>
      </c>
      <c r="H160">
        <f t="shared" ca="1" si="48"/>
        <v>134</v>
      </c>
      <c r="I160">
        <f t="shared" ca="1" si="49"/>
        <v>2018</v>
      </c>
      <c r="J160" s="2">
        <f t="shared" ca="1" si="50"/>
        <v>2022574</v>
      </c>
      <c r="K160" s="4">
        <f t="shared" ca="1" si="51"/>
        <v>6314541</v>
      </c>
      <c r="L160" t="str">
        <f t="shared" ca="1" si="52"/>
        <v>Rachel Villanueva</v>
      </c>
      <c r="M160" t="str">
        <f t="shared" ca="1" si="53"/>
        <v>Individual</v>
      </c>
      <c r="N160" t="str">
        <f t="shared" ca="1" si="54"/>
        <v>Installment</v>
      </c>
      <c r="O160" s="1">
        <f t="shared" ca="1" si="55"/>
        <v>167</v>
      </c>
      <c r="P160" s="2">
        <f t="shared" ca="1" si="56"/>
        <v>189436.22999999998</v>
      </c>
      <c r="Q160" s="2">
        <f t="shared" ca="1" si="57"/>
        <v>4291967</v>
      </c>
      <c r="R160" s="3">
        <f t="shared" ca="1" si="58"/>
        <v>47123.440298507463</v>
      </c>
      <c r="S160">
        <f t="shared" ca="1" si="59"/>
        <v>134</v>
      </c>
      <c r="T160" s="2">
        <f t="shared" ca="1" si="60"/>
        <v>2022571.8779678766</v>
      </c>
      <c r="U160" s="17">
        <f t="shared" si="63"/>
        <v>2019</v>
      </c>
      <c r="V160" s="20" t="str">
        <f t="shared" si="61"/>
        <v>Oct-2019</v>
      </c>
    </row>
    <row r="161" spans="1:22" x14ac:dyDescent="0.3">
      <c r="A161" t="str">
        <f t="shared" si="62"/>
        <v>TX-00161</v>
      </c>
      <c r="B161" s="6">
        <v>43902</v>
      </c>
      <c r="C161" t="str">
        <f t="shared" ca="1" si="45"/>
        <v>Land</v>
      </c>
      <c r="D161" s="1" t="str">
        <f t="shared" ca="1" si="46"/>
        <v>Laguna</v>
      </c>
      <c r="E161" s="1">
        <f t="shared" ca="1" si="64"/>
        <v>2</v>
      </c>
      <c r="F161" s="1">
        <f t="shared" ca="1" si="64"/>
        <v>2</v>
      </c>
      <c r="G161">
        <f t="shared" ca="1" si="47"/>
        <v>182</v>
      </c>
      <c r="H161">
        <f t="shared" ca="1" si="48"/>
        <v>152</v>
      </c>
      <c r="I161">
        <f t="shared" ca="1" si="49"/>
        <v>2019</v>
      </c>
      <c r="J161" s="2">
        <f t="shared" ca="1" si="50"/>
        <v>12950923</v>
      </c>
      <c r="K161" s="4">
        <f t="shared" ca="1" si="51"/>
        <v>8939665</v>
      </c>
      <c r="L161" t="str">
        <f t="shared" ca="1" si="52"/>
        <v>Mary Garcia</v>
      </c>
      <c r="M161" t="str">
        <f t="shared" ca="1" si="53"/>
        <v>Individual</v>
      </c>
      <c r="N161" t="str">
        <f t="shared" ca="1" si="54"/>
        <v>Pag-IBIG Loan</v>
      </c>
      <c r="O161" s="1">
        <f t="shared" ca="1" si="55"/>
        <v>230</v>
      </c>
      <c r="P161" s="2">
        <f t="shared" ca="1" si="56"/>
        <v>268189.95</v>
      </c>
      <c r="Q161" s="2">
        <f t="shared" ca="1" si="57"/>
        <v>-4011258</v>
      </c>
      <c r="R161" s="3">
        <f t="shared" ca="1" si="58"/>
        <v>58813.585526315786</v>
      </c>
      <c r="S161">
        <f t="shared" ca="1" si="59"/>
        <v>152</v>
      </c>
      <c r="T161" s="2">
        <f t="shared" ca="1" si="60"/>
        <v>12950923.309727577</v>
      </c>
      <c r="U161" s="17">
        <f t="shared" si="63"/>
        <v>2020</v>
      </c>
      <c r="V161" s="20" t="str">
        <f t="shared" si="61"/>
        <v>Mar-2020</v>
      </c>
    </row>
    <row r="162" spans="1:22" x14ac:dyDescent="0.3">
      <c r="A162" t="str">
        <f t="shared" si="62"/>
        <v>TX-00162</v>
      </c>
      <c r="B162" s="6">
        <v>44333</v>
      </c>
      <c r="C162" t="str">
        <f t="shared" ca="1" si="45"/>
        <v>Land</v>
      </c>
      <c r="D162" s="1" t="str">
        <f t="shared" ca="1" si="46"/>
        <v>Laguna</v>
      </c>
      <c r="E162" s="1">
        <f t="shared" ref="E162:F181" ca="1" si="65">RANDBETWEEN(1,4)</f>
        <v>4</v>
      </c>
      <c r="F162" s="1">
        <f t="shared" ca="1" si="65"/>
        <v>4</v>
      </c>
      <c r="G162">
        <f t="shared" ca="1" si="47"/>
        <v>159</v>
      </c>
      <c r="H162">
        <f t="shared" ca="1" si="48"/>
        <v>134</v>
      </c>
      <c r="I162">
        <f t="shared" ca="1" si="49"/>
        <v>2021</v>
      </c>
      <c r="J162" s="2">
        <f t="shared" ca="1" si="50"/>
        <v>10420340</v>
      </c>
      <c r="K162" s="4">
        <f t="shared" ca="1" si="51"/>
        <v>4978580</v>
      </c>
      <c r="L162" t="str">
        <f t="shared" ca="1" si="52"/>
        <v>Anna Mendoza</v>
      </c>
      <c r="M162" t="str">
        <f t="shared" ca="1" si="53"/>
        <v>Investor</v>
      </c>
      <c r="N162" t="str">
        <f t="shared" ca="1" si="54"/>
        <v>Cash</v>
      </c>
      <c r="O162" s="1">
        <f t="shared" ca="1" si="55"/>
        <v>309</v>
      </c>
      <c r="P162" s="2">
        <f t="shared" ca="1" si="56"/>
        <v>149357.4</v>
      </c>
      <c r="Q162" s="2">
        <f t="shared" ca="1" si="57"/>
        <v>-5441760</v>
      </c>
      <c r="R162" s="3">
        <f t="shared" ca="1" si="58"/>
        <v>37153.582089552241</v>
      </c>
      <c r="S162">
        <f t="shared" ca="1" si="59"/>
        <v>134</v>
      </c>
      <c r="T162" s="2">
        <f t="shared" ca="1" si="60"/>
        <v>10420340.522224803</v>
      </c>
      <c r="U162" s="17">
        <f t="shared" si="63"/>
        <v>2021</v>
      </c>
      <c r="V162" s="20" t="str">
        <f t="shared" si="61"/>
        <v>May-2021</v>
      </c>
    </row>
    <row r="163" spans="1:22" x14ac:dyDescent="0.3">
      <c r="A163" t="str">
        <f t="shared" si="62"/>
        <v>TX-00163</v>
      </c>
      <c r="B163" s="6">
        <v>43509</v>
      </c>
      <c r="C163" t="str">
        <f t="shared" ca="1" si="45"/>
        <v>Land</v>
      </c>
      <c r="D163" s="1" t="str">
        <f t="shared" ca="1" si="46"/>
        <v>Bulacan</v>
      </c>
      <c r="E163" s="1">
        <f t="shared" ca="1" si="65"/>
        <v>1</v>
      </c>
      <c r="F163" s="1">
        <f t="shared" ca="1" si="65"/>
        <v>4</v>
      </c>
      <c r="G163">
        <f t="shared" ca="1" si="47"/>
        <v>127</v>
      </c>
      <c r="H163">
        <f t="shared" ca="1" si="48"/>
        <v>137</v>
      </c>
      <c r="I163">
        <f t="shared" ca="1" si="49"/>
        <v>2014</v>
      </c>
      <c r="J163" s="2">
        <f t="shared" ca="1" si="50"/>
        <v>6794138</v>
      </c>
      <c r="K163" s="4">
        <f t="shared" ca="1" si="51"/>
        <v>9743083</v>
      </c>
      <c r="L163" t="str">
        <f t="shared" ca="1" si="52"/>
        <v>Michael Santos</v>
      </c>
      <c r="M163" t="str">
        <f t="shared" ca="1" si="53"/>
        <v>Individual</v>
      </c>
      <c r="N163" t="str">
        <f t="shared" ca="1" si="54"/>
        <v>Cash</v>
      </c>
      <c r="O163" s="1">
        <f t="shared" ca="1" si="55"/>
        <v>326</v>
      </c>
      <c r="P163" s="2">
        <f t="shared" ca="1" si="56"/>
        <v>292292.49</v>
      </c>
      <c r="Q163" s="2">
        <f t="shared" ca="1" si="57"/>
        <v>2948945</v>
      </c>
      <c r="R163" s="3">
        <f t="shared" ca="1" si="58"/>
        <v>71117.394160583935</v>
      </c>
      <c r="S163">
        <f t="shared" ca="1" si="59"/>
        <v>137</v>
      </c>
      <c r="T163" s="2">
        <f t="shared" ca="1" si="60"/>
        <v>6794137.5659574475</v>
      </c>
      <c r="U163" s="17">
        <f t="shared" si="63"/>
        <v>2019</v>
      </c>
      <c r="V163" s="20" t="str">
        <f t="shared" si="61"/>
        <v>Feb-2019</v>
      </c>
    </row>
    <row r="164" spans="1:22" x14ac:dyDescent="0.3">
      <c r="A164" t="str">
        <f t="shared" si="62"/>
        <v>TX-00164</v>
      </c>
      <c r="B164" s="6">
        <v>45991</v>
      </c>
      <c r="C164" t="str">
        <f t="shared" ca="1" si="45"/>
        <v>Condo</v>
      </c>
      <c r="D164" s="1" t="str">
        <f t="shared" ca="1" si="46"/>
        <v>Bulacan</v>
      </c>
      <c r="E164" s="1">
        <f t="shared" ca="1" si="65"/>
        <v>1</v>
      </c>
      <c r="F164" s="1">
        <f t="shared" ca="1" si="65"/>
        <v>1</v>
      </c>
      <c r="G164">
        <f t="shared" ca="1" si="47"/>
        <v>124</v>
      </c>
      <c r="H164">
        <f t="shared" ca="1" si="48"/>
        <v>164</v>
      </c>
      <c r="I164">
        <f t="shared" ca="1" si="49"/>
        <v>2019</v>
      </c>
      <c r="J164" s="2">
        <f t="shared" ca="1" si="50"/>
        <v>8416786</v>
      </c>
      <c r="K164" s="4">
        <f t="shared" ca="1" si="51"/>
        <v>7855353</v>
      </c>
      <c r="L164" t="str">
        <f t="shared" ca="1" si="52"/>
        <v>Michael Santos</v>
      </c>
      <c r="M164" t="str">
        <f t="shared" ca="1" si="53"/>
        <v>Investor</v>
      </c>
      <c r="N164" t="str">
        <f t="shared" ca="1" si="54"/>
        <v>Bank Loan</v>
      </c>
      <c r="O164" s="1">
        <f t="shared" ca="1" si="55"/>
        <v>196</v>
      </c>
      <c r="P164" s="2">
        <f t="shared" ca="1" si="56"/>
        <v>235660.59</v>
      </c>
      <c r="Q164" s="2">
        <f t="shared" ca="1" si="57"/>
        <v>-561433</v>
      </c>
      <c r="R164" s="3">
        <f t="shared" ca="1" si="58"/>
        <v>63349.620967741932</v>
      </c>
      <c r="S164">
        <f t="shared" ca="1" si="59"/>
        <v>124</v>
      </c>
      <c r="T164" s="2">
        <f t="shared" ca="1" si="60"/>
        <v>8416786.0667039659</v>
      </c>
      <c r="U164" s="17">
        <f t="shared" si="63"/>
        <v>2025</v>
      </c>
      <c r="V164" s="20" t="str">
        <f t="shared" si="61"/>
        <v>Nov-2025</v>
      </c>
    </row>
    <row r="165" spans="1:22" x14ac:dyDescent="0.3">
      <c r="A165" t="str">
        <f t="shared" si="62"/>
        <v>TX-00165</v>
      </c>
      <c r="B165" s="6">
        <v>45615</v>
      </c>
      <c r="C165" t="str">
        <f t="shared" ca="1" si="45"/>
        <v>Condo</v>
      </c>
      <c r="D165" s="1" t="str">
        <f t="shared" ca="1" si="46"/>
        <v>Makati</v>
      </c>
      <c r="E165" s="1">
        <f t="shared" ca="1" si="65"/>
        <v>2</v>
      </c>
      <c r="F165" s="1">
        <f t="shared" ca="1" si="65"/>
        <v>3</v>
      </c>
      <c r="G165">
        <f t="shared" ca="1" si="47"/>
        <v>87</v>
      </c>
      <c r="H165">
        <f t="shared" ca="1" si="48"/>
        <v>222</v>
      </c>
      <c r="I165">
        <f t="shared" ca="1" si="49"/>
        <v>2013</v>
      </c>
      <c r="J165" s="2">
        <f t="shared" ca="1" si="50"/>
        <v>9073378</v>
      </c>
      <c r="K165" s="4">
        <f t="shared" ca="1" si="51"/>
        <v>9804193</v>
      </c>
      <c r="L165" t="str">
        <f t="shared" ca="1" si="52"/>
        <v>Anna Mendoza</v>
      </c>
      <c r="M165" t="str">
        <f t="shared" ca="1" si="53"/>
        <v>Individual</v>
      </c>
      <c r="N165" t="str">
        <f t="shared" ca="1" si="54"/>
        <v>Bank Loan</v>
      </c>
      <c r="O165" s="1">
        <f t="shared" ca="1" si="55"/>
        <v>371</v>
      </c>
      <c r="P165" s="2">
        <f t="shared" ca="1" si="56"/>
        <v>294125.78999999998</v>
      </c>
      <c r="Q165" s="2">
        <f t="shared" ca="1" si="57"/>
        <v>730815</v>
      </c>
      <c r="R165" s="3">
        <f t="shared" ca="1" si="58"/>
        <v>112691.8735632184</v>
      </c>
      <c r="S165">
        <f t="shared" ca="1" si="59"/>
        <v>87</v>
      </c>
      <c r="T165" s="2">
        <f t="shared" ca="1" si="60"/>
        <v>9073377.9194550253</v>
      </c>
      <c r="U165" s="17">
        <f t="shared" si="63"/>
        <v>2024</v>
      </c>
      <c r="V165" s="20" t="str">
        <f t="shared" si="61"/>
        <v>Nov-2024</v>
      </c>
    </row>
    <row r="166" spans="1:22" x14ac:dyDescent="0.3">
      <c r="A166" t="str">
        <f t="shared" si="62"/>
        <v>TX-00166</v>
      </c>
      <c r="B166" s="6">
        <v>43310</v>
      </c>
      <c r="C166" t="str">
        <f t="shared" ca="1" si="45"/>
        <v>Condo</v>
      </c>
      <c r="D166" s="1" t="str">
        <f t="shared" ca="1" si="46"/>
        <v>Laguna</v>
      </c>
      <c r="E166" s="1">
        <f t="shared" ca="1" si="65"/>
        <v>2</v>
      </c>
      <c r="F166" s="1">
        <f t="shared" ca="1" si="65"/>
        <v>3</v>
      </c>
      <c r="G166">
        <f t="shared" ca="1" si="47"/>
        <v>161</v>
      </c>
      <c r="H166">
        <f t="shared" ca="1" si="48"/>
        <v>204</v>
      </c>
      <c r="I166">
        <f t="shared" ca="1" si="49"/>
        <v>2017</v>
      </c>
      <c r="J166" s="2">
        <f t="shared" ca="1" si="50"/>
        <v>9851174</v>
      </c>
      <c r="K166" s="4">
        <f t="shared" ca="1" si="51"/>
        <v>9160586</v>
      </c>
      <c r="L166" t="str">
        <f t="shared" ca="1" si="52"/>
        <v>John Dela Cruz</v>
      </c>
      <c r="M166" t="str">
        <f t="shared" ca="1" si="53"/>
        <v>OFW</v>
      </c>
      <c r="N166" t="str">
        <f t="shared" ca="1" si="54"/>
        <v>Cash</v>
      </c>
      <c r="O166" s="1">
        <f t="shared" ca="1" si="55"/>
        <v>388</v>
      </c>
      <c r="P166" s="2">
        <f t="shared" ca="1" si="56"/>
        <v>274817.58</v>
      </c>
      <c r="Q166" s="2">
        <f t="shared" ca="1" si="57"/>
        <v>-690588</v>
      </c>
      <c r="R166" s="3">
        <f t="shared" ca="1" si="58"/>
        <v>56898.049689440995</v>
      </c>
      <c r="S166">
        <f t="shared" ca="1" si="59"/>
        <v>161</v>
      </c>
      <c r="T166" s="2">
        <f t="shared" ca="1" si="60"/>
        <v>9851174.0701021012</v>
      </c>
      <c r="U166" s="17">
        <f t="shared" si="63"/>
        <v>2018</v>
      </c>
      <c r="V166" s="20" t="str">
        <f t="shared" si="61"/>
        <v>Jul-2018</v>
      </c>
    </row>
    <row r="167" spans="1:22" x14ac:dyDescent="0.3">
      <c r="A167" t="str">
        <f t="shared" si="62"/>
        <v>TX-00167</v>
      </c>
      <c r="B167" s="6">
        <v>43564</v>
      </c>
      <c r="C167" t="str">
        <f t="shared" ca="1" si="45"/>
        <v>Land</v>
      </c>
      <c r="D167" s="1" t="str">
        <f t="shared" ca="1" si="46"/>
        <v>Bulacan</v>
      </c>
      <c r="E167" s="1">
        <f t="shared" ca="1" si="65"/>
        <v>3</v>
      </c>
      <c r="F167" s="1">
        <f t="shared" ca="1" si="65"/>
        <v>4</v>
      </c>
      <c r="G167">
        <f t="shared" ca="1" si="47"/>
        <v>121</v>
      </c>
      <c r="H167">
        <f t="shared" ca="1" si="48"/>
        <v>238</v>
      </c>
      <c r="I167">
        <f t="shared" ca="1" si="49"/>
        <v>2013</v>
      </c>
      <c r="J167" s="2">
        <f t="shared" ca="1" si="50"/>
        <v>10970177</v>
      </c>
      <c r="K167" s="4">
        <f t="shared" ca="1" si="51"/>
        <v>7851093</v>
      </c>
      <c r="L167" t="str">
        <f t="shared" ca="1" si="52"/>
        <v>Michelle Flores</v>
      </c>
      <c r="M167" t="str">
        <f t="shared" ca="1" si="53"/>
        <v>OFW</v>
      </c>
      <c r="N167" t="str">
        <f t="shared" ca="1" si="54"/>
        <v>Cash</v>
      </c>
      <c r="O167" s="1">
        <f t="shared" ca="1" si="55"/>
        <v>192</v>
      </c>
      <c r="P167" s="2">
        <f t="shared" ca="1" si="56"/>
        <v>235532.78999999998</v>
      </c>
      <c r="Q167" s="2">
        <f t="shared" ca="1" si="57"/>
        <v>-3119084</v>
      </c>
      <c r="R167" s="3">
        <f t="shared" ca="1" si="58"/>
        <v>32987.785714285717</v>
      </c>
      <c r="S167">
        <f t="shared" ca="1" si="59"/>
        <v>238</v>
      </c>
      <c r="T167" s="2">
        <f t="shared" ca="1" si="60"/>
        <v>10970177.284323946</v>
      </c>
      <c r="U167" s="17">
        <f t="shared" si="63"/>
        <v>2019</v>
      </c>
      <c r="V167" s="20" t="str">
        <f t="shared" si="61"/>
        <v>Apr-2019</v>
      </c>
    </row>
    <row r="168" spans="1:22" x14ac:dyDescent="0.3">
      <c r="A168" t="str">
        <f t="shared" si="62"/>
        <v>TX-00168</v>
      </c>
      <c r="B168" s="6">
        <v>43513</v>
      </c>
      <c r="C168" t="str">
        <f t="shared" ca="1" si="45"/>
        <v>Land</v>
      </c>
      <c r="D168" s="1" t="str">
        <f t="shared" ca="1" si="46"/>
        <v>Makati</v>
      </c>
      <c r="E168" s="1">
        <f t="shared" ca="1" si="65"/>
        <v>1</v>
      </c>
      <c r="F168" s="1">
        <f t="shared" ca="1" si="65"/>
        <v>1</v>
      </c>
      <c r="G168">
        <f t="shared" ca="1" si="47"/>
        <v>80</v>
      </c>
      <c r="H168">
        <f t="shared" ca="1" si="48"/>
        <v>180</v>
      </c>
      <c r="I168">
        <f t="shared" ca="1" si="49"/>
        <v>2022</v>
      </c>
      <c r="J168" s="2">
        <f t="shared" ca="1" si="50"/>
        <v>3762607</v>
      </c>
      <c r="K168" s="4">
        <f t="shared" ca="1" si="51"/>
        <v>5947968</v>
      </c>
      <c r="L168" t="str">
        <f t="shared" ca="1" si="52"/>
        <v>Joy Ramos</v>
      </c>
      <c r="M168" t="str">
        <f t="shared" ca="1" si="53"/>
        <v>Investor</v>
      </c>
      <c r="N168" t="str">
        <f t="shared" ca="1" si="54"/>
        <v>Cash</v>
      </c>
      <c r="O168" s="1">
        <f t="shared" ca="1" si="55"/>
        <v>320</v>
      </c>
      <c r="P168" s="2">
        <f t="shared" ca="1" si="56"/>
        <v>178439.03999999998</v>
      </c>
      <c r="Q168" s="2">
        <f t="shared" ca="1" si="57"/>
        <v>2185361</v>
      </c>
      <c r="R168" s="3">
        <f t="shared" ca="1" si="58"/>
        <v>33044.26666666667</v>
      </c>
      <c r="S168">
        <f t="shared" ca="1" si="59"/>
        <v>180</v>
      </c>
      <c r="T168" s="2">
        <f t="shared" ca="1" si="60"/>
        <v>3762606.4191896734</v>
      </c>
      <c r="U168" s="17">
        <f t="shared" si="63"/>
        <v>2019</v>
      </c>
      <c r="V168" s="20" t="str">
        <f t="shared" si="61"/>
        <v>Feb-2019</v>
      </c>
    </row>
    <row r="169" spans="1:22" x14ac:dyDescent="0.3">
      <c r="A169" t="str">
        <f t="shared" si="62"/>
        <v>TX-00169</v>
      </c>
      <c r="B169" s="6">
        <v>45065</v>
      </c>
      <c r="C169" t="str">
        <f t="shared" ca="1" si="45"/>
        <v>Land</v>
      </c>
      <c r="D169" s="1" t="str">
        <f t="shared" ca="1" si="46"/>
        <v>Laguna</v>
      </c>
      <c r="E169" s="1">
        <f t="shared" ca="1" si="65"/>
        <v>2</v>
      </c>
      <c r="F169" s="1">
        <f t="shared" ca="1" si="65"/>
        <v>2</v>
      </c>
      <c r="G169">
        <f t="shared" ca="1" si="47"/>
        <v>66</v>
      </c>
      <c r="H169">
        <f t="shared" ca="1" si="48"/>
        <v>79</v>
      </c>
      <c r="I169">
        <f t="shared" ca="1" si="49"/>
        <v>2017</v>
      </c>
      <c r="J169" s="2">
        <f t="shared" ca="1" si="50"/>
        <v>8335271</v>
      </c>
      <c r="K169" s="4">
        <f t="shared" ca="1" si="51"/>
        <v>1704301</v>
      </c>
      <c r="L169" t="str">
        <f t="shared" ca="1" si="52"/>
        <v>Michelle Flores</v>
      </c>
      <c r="M169" t="str">
        <f t="shared" ca="1" si="53"/>
        <v>OFW</v>
      </c>
      <c r="N169" t="str">
        <f t="shared" ca="1" si="54"/>
        <v>Pag-IBIG Loan</v>
      </c>
      <c r="O169" s="1">
        <f t="shared" ca="1" si="55"/>
        <v>331</v>
      </c>
      <c r="P169" s="2">
        <f t="shared" ca="1" si="56"/>
        <v>51129.03</v>
      </c>
      <c r="Q169" s="2">
        <f t="shared" ca="1" si="57"/>
        <v>-6630970</v>
      </c>
      <c r="R169" s="3">
        <f t="shared" ca="1" si="58"/>
        <v>21573.430379746835</v>
      </c>
      <c r="S169">
        <f t="shared" ca="1" si="59"/>
        <v>79</v>
      </c>
      <c r="T169" s="2">
        <f t="shared" ca="1" si="60"/>
        <v>8335271.7955314228</v>
      </c>
      <c r="U169" s="17">
        <f t="shared" si="63"/>
        <v>2023</v>
      </c>
      <c r="V169" s="20" t="str">
        <f t="shared" si="61"/>
        <v>May-2023</v>
      </c>
    </row>
    <row r="170" spans="1:22" x14ac:dyDescent="0.3">
      <c r="A170" t="str">
        <f t="shared" si="62"/>
        <v>TX-00170</v>
      </c>
      <c r="B170" s="6">
        <v>45598</v>
      </c>
      <c r="C170" t="str">
        <f t="shared" ca="1" si="45"/>
        <v>Condo</v>
      </c>
      <c r="D170" s="1" t="str">
        <f t="shared" ca="1" si="46"/>
        <v>Cavite</v>
      </c>
      <c r="E170" s="1">
        <f t="shared" ca="1" si="65"/>
        <v>2</v>
      </c>
      <c r="F170" s="1">
        <f t="shared" ca="1" si="65"/>
        <v>2</v>
      </c>
      <c r="G170">
        <f t="shared" ca="1" si="47"/>
        <v>63</v>
      </c>
      <c r="H170">
        <f t="shared" ca="1" si="48"/>
        <v>57</v>
      </c>
      <c r="I170">
        <f t="shared" ca="1" si="49"/>
        <v>2013</v>
      </c>
      <c r="J170" s="2">
        <f t="shared" ca="1" si="50"/>
        <v>10411101</v>
      </c>
      <c r="K170" s="4">
        <f t="shared" ca="1" si="51"/>
        <v>11328867</v>
      </c>
      <c r="L170" t="str">
        <f t="shared" ca="1" si="52"/>
        <v>Daniel Cruz</v>
      </c>
      <c r="M170" t="str">
        <f t="shared" ca="1" si="53"/>
        <v>OFW</v>
      </c>
      <c r="N170" t="str">
        <f t="shared" ca="1" si="54"/>
        <v>Cash</v>
      </c>
      <c r="O170" s="1">
        <f t="shared" ca="1" si="55"/>
        <v>398</v>
      </c>
      <c r="P170" s="2">
        <f t="shared" ca="1" si="56"/>
        <v>339866.01</v>
      </c>
      <c r="Q170" s="2">
        <f t="shared" ca="1" si="57"/>
        <v>917766</v>
      </c>
      <c r="R170" s="3">
        <f t="shared" ca="1" si="58"/>
        <v>179823.28571428571</v>
      </c>
      <c r="S170">
        <f t="shared" ca="1" si="59"/>
        <v>63</v>
      </c>
      <c r="T170" s="2">
        <f t="shared" ca="1" si="60"/>
        <v>10411100.911847364</v>
      </c>
      <c r="U170" s="17">
        <f t="shared" si="63"/>
        <v>2024</v>
      </c>
      <c r="V170" s="20" t="str">
        <f t="shared" si="61"/>
        <v>Nov-2024</v>
      </c>
    </row>
    <row r="171" spans="1:22" x14ac:dyDescent="0.3">
      <c r="A171" t="str">
        <f t="shared" si="62"/>
        <v>TX-00171</v>
      </c>
      <c r="B171" s="6">
        <v>43499</v>
      </c>
      <c r="C171" t="str">
        <f t="shared" ca="1" si="45"/>
        <v>Commercial</v>
      </c>
      <c r="D171" s="1" t="str">
        <f t="shared" ca="1" si="46"/>
        <v>Cavite</v>
      </c>
      <c r="E171" s="1">
        <f t="shared" ca="1" si="65"/>
        <v>4</v>
      </c>
      <c r="F171" s="1">
        <f t="shared" ca="1" si="65"/>
        <v>1</v>
      </c>
      <c r="G171">
        <f t="shared" ca="1" si="47"/>
        <v>62</v>
      </c>
      <c r="H171">
        <f t="shared" ca="1" si="48"/>
        <v>175</v>
      </c>
      <c r="I171">
        <f t="shared" ca="1" si="49"/>
        <v>2014</v>
      </c>
      <c r="J171" s="2">
        <f t="shared" ca="1" si="50"/>
        <v>10019458</v>
      </c>
      <c r="K171" s="4">
        <f t="shared" ca="1" si="51"/>
        <v>8895382</v>
      </c>
      <c r="L171" t="str">
        <f t="shared" ca="1" si="52"/>
        <v>Joy Ramos</v>
      </c>
      <c r="M171" t="str">
        <f t="shared" ca="1" si="53"/>
        <v>Individual</v>
      </c>
      <c r="N171" t="str">
        <f t="shared" ca="1" si="54"/>
        <v>Bank Loan</v>
      </c>
      <c r="O171" s="1">
        <f t="shared" ca="1" si="55"/>
        <v>167</v>
      </c>
      <c r="P171" s="2">
        <f t="shared" ca="1" si="56"/>
        <v>266861.45999999996</v>
      </c>
      <c r="Q171" s="2">
        <f t="shared" ca="1" si="57"/>
        <v>-1124076</v>
      </c>
      <c r="R171" s="3">
        <f t="shared" ca="1" si="58"/>
        <v>50830.754285714283</v>
      </c>
      <c r="S171">
        <f t="shared" ca="1" si="59"/>
        <v>175</v>
      </c>
      <c r="T171" s="2">
        <f t="shared" ca="1" si="60"/>
        <v>10019458.112189302</v>
      </c>
      <c r="U171" s="17">
        <f t="shared" si="63"/>
        <v>2019</v>
      </c>
      <c r="V171" s="20" t="str">
        <f t="shared" si="61"/>
        <v>Feb-2019</v>
      </c>
    </row>
    <row r="172" spans="1:22" x14ac:dyDescent="0.3">
      <c r="A172" t="str">
        <f t="shared" si="62"/>
        <v>TX-00172</v>
      </c>
      <c r="B172" s="6">
        <v>43455</v>
      </c>
      <c r="C172" t="str">
        <f t="shared" ca="1" si="45"/>
        <v>Land</v>
      </c>
      <c r="D172" s="1" t="str">
        <f t="shared" ca="1" si="46"/>
        <v>Bulacan</v>
      </c>
      <c r="E172" s="1">
        <f t="shared" ca="1" si="65"/>
        <v>4</v>
      </c>
      <c r="F172" s="1">
        <f t="shared" ca="1" si="65"/>
        <v>2</v>
      </c>
      <c r="G172">
        <f t="shared" ca="1" si="47"/>
        <v>83</v>
      </c>
      <c r="H172">
        <f t="shared" ca="1" si="48"/>
        <v>118</v>
      </c>
      <c r="I172">
        <f t="shared" ca="1" si="49"/>
        <v>2015</v>
      </c>
      <c r="J172" s="2">
        <f t="shared" ca="1" si="50"/>
        <v>3647938</v>
      </c>
      <c r="K172" s="4">
        <f t="shared" ca="1" si="51"/>
        <v>9194813</v>
      </c>
      <c r="L172" t="str">
        <f t="shared" ca="1" si="52"/>
        <v>Joy Ramos</v>
      </c>
      <c r="M172" t="str">
        <f t="shared" ca="1" si="53"/>
        <v>Individual</v>
      </c>
      <c r="N172" t="str">
        <f t="shared" ca="1" si="54"/>
        <v>Installment</v>
      </c>
      <c r="O172" s="1">
        <f t="shared" ca="1" si="55"/>
        <v>279</v>
      </c>
      <c r="P172" s="2">
        <f t="shared" ca="1" si="56"/>
        <v>275844.39</v>
      </c>
      <c r="Q172" s="2">
        <f t="shared" ca="1" si="57"/>
        <v>5546875</v>
      </c>
      <c r="R172" s="3">
        <f t="shared" ca="1" si="58"/>
        <v>77922.144067796617</v>
      </c>
      <c r="S172">
        <f t="shared" ca="1" si="59"/>
        <v>118</v>
      </c>
      <c r="T172" s="2">
        <f t="shared" ca="1" si="60"/>
        <v>3647936.4794492121</v>
      </c>
      <c r="U172" s="17">
        <f t="shared" si="63"/>
        <v>2018</v>
      </c>
      <c r="V172" s="20" t="str">
        <f t="shared" si="61"/>
        <v>Dec-2018</v>
      </c>
    </row>
    <row r="173" spans="1:22" x14ac:dyDescent="0.3">
      <c r="A173" t="str">
        <f t="shared" si="62"/>
        <v>TX-00173</v>
      </c>
      <c r="B173" s="6">
        <v>44737</v>
      </c>
      <c r="C173" t="str">
        <f t="shared" ca="1" si="45"/>
        <v>House &amp; Lot</v>
      </c>
      <c r="D173" s="1" t="str">
        <f t="shared" ca="1" si="46"/>
        <v>Bulacan</v>
      </c>
      <c r="E173" s="1">
        <f t="shared" ca="1" si="65"/>
        <v>2</v>
      </c>
      <c r="F173" s="1">
        <f t="shared" ca="1" si="65"/>
        <v>1</v>
      </c>
      <c r="G173">
        <f t="shared" ca="1" si="47"/>
        <v>179</v>
      </c>
      <c r="H173">
        <f t="shared" ca="1" si="48"/>
        <v>138</v>
      </c>
      <c r="I173">
        <f t="shared" ca="1" si="49"/>
        <v>2013</v>
      </c>
      <c r="J173" s="2">
        <f t="shared" ca="1" si="50"/>
        <v>10824948</v>
      </c>
      <c r="K173" s="4">
        <f t="shared" ca="1" si="51"/>
        <v>6573465</v>
      </c>
      <c r="L173" t="str">
        <f t="shared" ca="1" si="52"/>
        <v>Michelle Flores</v>
      </c>
      <c r="M173" t="str">
        <f t="shared" ca="1" si="53"/>
        <v>Corporation</v>
      </c>
      <c r="N173" t="str">
        <f t="shared" ca="1" si="54"/>
        <v>Bank Loan</v>
      </c>
      <c r="O173" s="1">
        <f t="shared" ca="1" si="55"/>
        <v>311</v>
      </c>
      <c r="P173" s="2">
        <f t="shared" ca="1" si="56"/>
        <v>197203.94999999998</v>
      </c>
      <c r="Q173" s="2">
        <f t="shared" ca="1" si="57"/>
        <v>-4251483</v>
      </c>
      <c r="R173" s="3">
        <f t="shared" ca="1" si="58"/>
        <v>47633.804347826088</v>
      </c>
      <c r="S173">
        <f t="shared" ca="1" si="59"/>
        <v>138</v>
      </c>
      <c r="T173" s="2">
        <f t="shared" ca="1" si="60"/>
        <v>10824948.392748585</v>
      </c>
      <c r="U173" s="17">
        <f t="shared" si="63"/>
        <v>2022</v>
      </c>
      <c r="V173" s="20" t="str">
        <f t="shared" si="61"/>
        <v>Jun-2022</v>
      </c>
    </row>
    <row r="174" spans="1:22" x14ac:dyDescent="0.3">
      <c r="A174" t="str">
        <f t="shared" si="62"/>
        <v>TX-00174</v>
      </c>
      <c r="B174" s="6">
        <v>46038</v>
      </c>
      <c r="C174" t="str">
        <f t="shared" ca="1" si="45"/>
        <v>House &amp; Lot</v>
      </c>
      <c r="D174" s="1" t="str">
        <f t="shared" ca="1" si="46"/>
        <v>Makati</v>
      </c>
      <c r="E174" s="1">
        <f t="shared" ca="1" si="65"/>
        <v>1</v>
      </c>
      <c r="F174" s="1">
        <f t="shared" ca="1" si="65"/>
        <v>3</v>
      </c>
      <c r="G174">
        <f t="shared" ca="1" si="47"/>
        <v>152</v>
      </c>
      <c r="H174">
        <f t="shared" ca="1" si="48"/>
        <v>108</v>
      </c>
      <c r="I174">
        <f t="shared" ca="1" si="49"/>
        <v>2017</v>
      </c>
      <c r="J174" s="2">
        <f t="shared" ca="1" si="50"/>
        <v>10889337</v>
      </c>
      <c r="K174" s="4">
        <f t="shared" ca="1" si="51"/>
        <v>6559540</v>
      </c>
      <c r="L174" t="str">
        <f t="shared" ca="1" si="52"/>
        <v>Mary Garcia</v>
      </c>
      <c r="M174" t="str">
        <f t="shared" ca="1" si="53"/>
        <v>Individual</v>
      </c>
      <c r="N174" t="str">
        <f t="shared" ca="1" si="54"/>
        <v>Pag-IBIG Loan</v>
      </c>
      <c r="O174" s="1">
        <f t="shared" ca="1" si="55"/>
        <v>238</v>
      </c>
      <c r="P174" s="2">
        <f t="shared" ca="1" si="56"/>
        <v>196786.19999999998</v>
      </c>
      <c r="Q174" s="2">
        <f t="shared" ca="1" si="57"/>
        <v>-4329797</v>
      </c>
      <c r="R174" s="3">
        <f t="shared" ca="1" si="58"/>
        <v>60736.481481481482</v>
      </c>
      <c r="S174">
        <f t="shared" ca="1" si="59"/>
        <v>108</v>
      </c>
      <c r="T174" s="2">
        <f t="shared" ca="1" si="60"/>
        <v>10889337.397618055</v>
      </c>
      <c r="U174" s="17">
        <f t="shared" si="63"/>
        <v>2026</v>
      </c>
      <c r="V174" s="20" t="str">
        <f t="shared" si="61"/>
        <v>Jan-2026</v>
      </c>
    </row>
    <row r="175" spans="1:22" x14ac:dyDescent="0.3">
      <c r="A175" t="str">
        <f t="shared" si="62"/>
        <v>TX-00175</v>
      </c>
      <c r="B175" s="6">
        <v>43676</v>
      </c>
      <c r="C175" t="str">
        <f t="shared" ca="1" si="45"/>
        <v>Condo</v>
      </c>
      <c r="D175" s="1" t="str">
        <f t="shared" ca="1" si="46"/>
        <v>Makati</v>
      </c>
      <c r="E175" s="1">
        <f t="shared" ca="1" si="65"/>
        <v>1</v>
      </c>
      <c r="F175" s="1">
        <f t="shared" ca="1" si="65"/>
        <v>4</v>
      </c>
      <c r="G175">
        <f t="shared" ca="1" si="47"/>
        <v>154</v>
      </c>
      <c r="H175">
        <f t="shared" ca="1" si="48"/>
        <v>99</v>
      </c>
      <c r="I175">
        <f t="shared" ca="1" si="49"/>
        <v>2023</v>
      </c>
      <c r="J175" s="2">
        <f t="shared" ca="1" si="50"/>
        <v>3752505</v>
      </c>
      <c r="K175" s="4">
        <f t="shared" ca="1" si="51"/>
        <v>6608128</v>
      </c>
      <c r="L175" t="str">
        <f t="shared" ca="1" si="52"/>
        <v>Rachel Villanueva</v>
      </c>
      <c r="M175" t="str">
        <f t="shared" ca="1" si="53"/>
        <v>Investor</v>
      </c>
      <c r="N175" t="str">
        <f t="shared" ca="1" si="54"/>
        <v>Cash</v>
      </c>
      <c r="O175" s="1">
        <f t="shared" ca="1" si="55"/>
        <v>278</v>
      </c>
      <c r="P175" s="2">
        <f t="shared" ca="1" si="56"/>
        <v>198243.84</v>
      </c>
      <c r="Q175" s="2">
        <f t="shared" ca="1" si="57"/>
        <v>2855623</v>
      </c>
      <c r="R175" s="3">
        <f t="shared" ca="1" si="58"/>
        <v>42909.922077922078</v>
      </c>
      <c r="S175">
        <f t="shared" ca="1" si="59"/>
        <v>154</v>
      </c>
      <c r="T175" s="2">
        <f t="shared" ca="1" si="60"/>
        <v>3752504.2390088756</v>
      </c>
      <c r="U175" s="17">
        <f t="shared" si="63"/>
        <v>2019</v>
      </c>
      <c r="V175" s="20" t="str">
        <f t="shared" si="61"/>
        <v>Jul-2019</v>
      </c>
    </row>
    <row r="176" spans="1:22" x14ac:dyDescent="0.3">
      <c r="A176" t="str">
        <f t="shared" si="62"/>
        <v>TX-00176</v>
      </c>
      <c r="B176" s="6">
        <v>44660</v>
      </c>
      <c r="C176" t="str">
        <f t="shared" ca="1" si="45"/>
        <v>Land</v>
      </c>
      <c r="D176" s="1" t="str">
        <f t="shared" ca="1" si="46"/>
        <v>Bulacan</v>
      </c>
      <c r="E176" s="1">
        <f t="shared" ca="1" si="65"/>
        <v>3</v>
      </c>
      <c r="F176" s="1">
        <f t="shared" ca="1" si="65"/>
        <v>3</v>
      </c>
      <c r="G176">
        <f t="shared" ca="1" si="47"/>
        <v>109</v>
      </c>
      <c r="H176">
        <f t="shared" ca="1" si="48"/>
        <v>56</v>
      </c>
      <c r="I176">
        <f t="shared" ca="1" si="49"/>
        <v>2020</v>
      </c>
      <c r="J176" s="2">
        <f t="shared" ca="1" si="50"/>
        <v>4005618</v>
      </c>
      <c r="K176" s="4">
        <f t="shared" ca="1" si="51"/>
        <v>8470950</v>
      </c>
      <c r="L176" t="str">
        <f t="shared" ca="1" si="52"/>
        <v>Daniel Cruz</v>
      </c>
      <c r="M176" t="str">
        <f t="shared" ca="1" si="53"/>
        <v>Corporation</v>
      </c>
      <c r="N176" t="str">
        <f t="shared" ca="1" si="54"/>
        <v>Bank Loan</v>
      </c>
      <c r="O176" s="1">
        <f t="shared" ca="1" si="55"/>
        <v>181</v>
      </c>
      <c r="P176" s="2">
        <f t="shared" ca="1" si="56"/>
        <v>254128.5</v>
      </c>
      <c r="Q176" s="2">
        <f t="shared" ca="1" si="57"/>
        <v>4465332</v>
      </c>
      <c r="R176" s="3">
        <f t="shared" ca="1" si="58"/>
        <v>151266.96428571429</v>
      </c>
      <c r="S176">
        <f t="shared" ca="1" si="59"/>
        <v>56</v>
      </c>
      <c r="T176" s="2">
        <f t="shared" ca="1" si="60"/>
        <v>4005616.8852326907</v>
      </c>
      <c r="U176" s="17">
        <f t="shared" si="63"/>
        <v>2022</v>
      </c>
      <c r="V176" s="20" t="str">
        <f t="shared" si="61"/>
        <v>Apr-2022</v>
      </c>
    </row>
    <row r="177" spans="1:22" x14ac:dyDescent="0.3">
      <c r="A177" t="str">
        <f t="shared" si="62"/>
        <v>TX-00177</v>
      </c>
      <c r="B177" s="6">
        <v>45633</v>
      </c>
      <c r="C177" t="str">
        <f t="shared" ca="1" si="45"/>
        <v>Condo</v>
      </c>
      <c r="D177" s="1" t="str">
        <f t="shared" ca="1" si="46"/>
        <v>Makati</v>
      </c>
      <c r="E177" s="1">
        <f t="shared" ca="1" si="65"/>
        <v>4</v>
      </c>
      <c r="F177" s="1">
        <f t="shared" ca="1" si="65"/>
        <v>1</v>
      </c>
      <c r="G177">
        <f t="shared" ca="1" si="47"/>
        <v>62</v>
      </c>
      <c r="H177">
        <f t="shared" ca="1" si="48"/>
        <v>203</v>
      </c>
      <c r="I177">
        <f t="shared" ca="1" si="49"/>
        <v>2016</v>
      </c>
      <c r="J177" s="2">
        <f t="shared" ca="1" si="50"/>
        <v>10244014</v>
      </c>
      <c r="K177" s="4">
        <f t="shared" ca="1" si="51"/>
        <v>2938675</v>
      </c>
      <c r="L177" t="str">
        <f t="shared" ca="1" si="52"/>
        <v>Michelle Flores</v>
      </c>
      <c r="M177" t="str">
        <f t="shared" ca="1" si="53"/>
        <v>OFW</v>
      </c>
      <c r="N177" t="str">
        <f t="shared" ca="1" si="54"/>
        <v>Installment</v>
      </c>
      <c r="O177" s="1">
        <f t="shared" ca="1" si="55"/>
        <v>205</v>
      </c>
      <c r="P177" s="2">
        <f t="shared" ca="1" si="56"/>
        <v>88160.25</v>
      </c>
      <c r="Q177" s="2">
        <f t="shared" ca="1" si="57"/>
        <v>-7305339</v>
      </c>
      <c r="R177" s="3">
        <f t="shared" ca="1" si="58"/>
        <v>47397.983870967742</v>
      </c>
      <c r="S177">
        <f t="shared" ca="1" si="59"/>
        <v>62</v>
      </c>
      <c r="T177" s="2">
        <f t="shared" ca="1" si="60"/>
        <v>10244014.713132469</v>
      </c>
      <c r="U177" s="17">
        <f t="shared" si="63"/>
        <v>2024</v>
      </c>
      <c r="V177" s="20" t="str">
        <f t="shared" si="61"/>
        <v>Dec-2024</v>
      </c>
    </row>
    <row r="178" spans="1:22" x14ac:dyDescent="0.3">
      <c r="A178" t="str">
        <f t="shared" si="62"/>
        <v>TX-00178</v>
      </c>
      <c r="B178" s="6">
        <v>43871</v>
      </c>
      <c r="C178" t="str">
        <f t="shared" ca="1" si="45"/>
        <v>Commercial</v>
      </c>
      <c r="D178" s="1" t="str">
        <f t="shared" ca="1" si="46"/>
        <v>Cavite</v>
      </c>
      <c r="E178" s="1">
        <f t="shared" ca="1" si="65"/>
        <v>4</v>
      </c>
      <c r="F178" s="1">
        <f t="shared" ca="1" si="65"/>
        <v>1</v>
      </c>
      <c r="G178">
        <f t="shared" ca="1" si="47"/>
        <v>199</v>
      </c>
      <c r="H178">
        <f t="shared" ca="1" si="48"/>
        <v>172</v>
      </c>
      <c r="I178">
        <f t="shared" ca="1" si="49"/>
        <v>2011</v>
      </c>
      <c r="J178" s="2">
        <f t="shared" ca="1" si="50"/>
        <v>3875221</v>
      </c>
      <c r="K178" s="4">
        <f t="shared" ca="1" si="51"/>
        <v>4139280</v>
      </c>
      <c r="L178" t="str">
        <f t="shared" ca="1" si="52"/>
        <v>Anna Mendoza</v>
      </c>
      <c r="M178" t="str">
        <f t="shared" ca="1" si="53"/>
        <v>Investor</v>
      </c>
      <c r="N178" t="str">
        <f t="shared" ca="1" si="54"/>
        <v>Installment</v>
      </c>
      <c r="O178" s="1">
        <f t="shared" ca="1" si="55"/>
        <v>282</v>
      </c>
      <c r="P178" s="2">
        <f t="shared" ca="1" si="56"/>
        <v>124178.4</v>
      </c>
      <c r="Q178" s="2">
        <f t="shared" ca="1" si="57"/>
        <v>264059</v>
      </c>
      <c r="R178" s="3">
        <f t="shared" ca="1" si="58"/>
        <v>24065.581395348836</v>
      </c>
      <c r="S178">
        <f t="shared" ca="1" si="59"/>
        <v>172</v>
      </c>
      <c r="T178" s="2">
        <f t="shared" ca="1" si="60"/>
        <v>3875220.9318596283</v>
      </c>
      <c r="U178" s="17">
        <f t="shared" si="63"/>
        <v>2020</v>
      </c>
      <c r="V178" s="20" t="str">
        <f t="shared" si="61"/>
        <v>Feb-2020</v>
      </c>
    </row>
    <row r="179" spans="1:22" x14ac:dyDescent="0.3">
      <c r="A179" t="str">
        <f t="shared" si="62"/>
        <v>TX-00179</v>
      </c>
      <c r="B179" s="6">
        <v>44662</v>
      </c>
      <c r="C179" t="str">
        <f t="shared" ca="1" si="45"/>
        <v>Land</v>
      </c>
      <c r="D179" s="1" t="str">
        <f t="shared" ca="1" si="46"/>
        <v>Bulacan</v>
      </c>
      <c r="E179" s="1">
        <f t="shared" ca="1" si="65"/>
        <v>4</v>
      </c>
      <c r="F179" s="1">
        <f t="shared" ca="1" si="65"/>
        <v>4</v>
      </c>
      <c r="G179">
        <f t="shared" ca="1" si="47"/>
        <v>71</v>
      </c>
      <c r="H179">
        <f t="shared" ca="1" si="48"/>
        <v>180</v>
      </c>
      <c r="I179">
        <f t="shared" ca="1" si="49"/>
        <v>2019</v>
      </c>
      <c r="J179" s="2">
        <f t="shared" ca="1" si="50"/>
        <v>10819037</v>
      </c>
      <c r="K179" s="4">
        <f t="shared" ca="1" si="51"/>
        <v>11068299</v>
      </c>
      <c r="L179" t="str">
        <f t="shared" ca="1" si="52"/>
        <v>Anna Mendoza</v>
      </c>
      <c r="M179" t="str">
        <f t="shared" ca="1" si="53"/>
        <v>Corporation</v>
      </c>
      <c r="N179" t="str">
        <f t="shared" ca="1" si="54"/>
        <v>Installment</v>
      </c>
      <c r="O179" s="1">
        <f t="shared" ca="1" si="55"/>
        <v>268</v>
      </c>
      <c r="P179" s="2">
        <f t="shared" ca="1" si="56"/>
        <v>332048.96999999997</v>
      </c>
      <c r="Q179" s="2">
        <f t="shared" ca="1" si="57"/>
        <v>249262</v>
      </c>
      <c r="R179" s="3">
        <f t="shared" ca="1" si="58"/>
        <v>61490.55</v>
      </c>
      <c r="S179">
        <f t="shared" ca="1" si="59"/>
        <v>180</v>
      </c>
      <c r="T179" s="2">
        <f t="shared" ca="1" si="60"/>
        <v>10819036.976960797</v>
      </c>
      <c r="U179" s="17">
        <f t="shared" si="63"/>
        <v>2022</v>
      </c>
      <c r="V179" s="20" t="str">
        <f t="shared" si="61"/>
        <v>Apr-2022</v>
      </c>
    </row>
    <row r="180" spans="1:22" x14ac:dyDescent="0.3">
      <c r="A180" t="str">
        <f t="shared" si="62"/>
        <v>TX-00180</v>
      </c>
      <c r="B180" s="6">
        <v>44851</v>
      </c>
      <c r="C180" t="str">
        <f t="shared" ca="1" si="45"/>
        <v>Condo</v>
      </c>
      <c r="D180" s="1" t="str">
        <f t="shared" ca="1" si="46"/>
        <v>Cavite</v>
      </c>
      <c r="E180" s="1">
        <f t="shared" ca="1" si="65"/>
        <v>1</v>
      </c>
      <c r="F180" s="1">
        <f t="shared" ca="1" si="65"/>
        <v>3</v>
      </c>
      <c r="G180">
        <f t="shared" ca="1" si="47"/>
        <v>129</v>
      </c>
      <c r="H180">
        <f t="shared" ca="1" si="48"/>
        <v>91</v>
      </c>
      <c r="I180">
        <f t="shared" ca="1" si="49"/>
        <v>2021</v>
      </c>
      <c r="J180" s="2">
        <f t="shared" ca="1" si="50"/>
        <v>3160386</v>
      </c>
      <c r="K180" s="4">
        <f t="shared" ca="1" si="51"/>
        <v>11542132</v>
      </c>
      <c r="L180" t="str">
        <f t="shared" ca="1" si="52"/>
        <v>Joy Ramos</v>
      </c>
      <c r="M180" t="str">
        <f t="shared" ca="1" si="53"/>
        <v>OFW</v>
      </c>
      <c r="N180" t="str">
        <f t="shared" ca="1" si="54"/>
        <v>Cash</v>
      </c>
      <c r="O180" s="1">
        <f t="shared" ca="1" si="55"/>
        <v>109</v>
      </c>
      <c r="P180" s="2">
        <f t="shared" ca="1" si="56"/>
        <v>346263.95999999996</v>
      </c>
      <c r="Q180" s="2">
        <f t="shared" ca="1" si="57"/>
        <v>8381746</v>
      </c>
      <c r="R180" s="3">
        <f t="shared" ca="1" si="58"/>
        <v>89473.891472868214</v>
      </c>
      <c r="S180">
        <f t="shared" ca="1" si="59"/>
        <v>129</v>
      </c>
      <c r="T180" s="2">
        <f t="shared" ca="1" si="60"/>
        <v>3160383.3478726964</v>
      </c>
      <c r="U180" s="17">
        <f t="shared" si="63"/>
        <v>2022</v>
      </c>
      <c r="V180" s="20" t="str">
        <f t="shared" si="61"/>
        <v>Oct-2022</v>
      </c>
    </row>
    <row r="181" spans="1:22" x14ac:dyDescent="0.3">
      <c r="A181" t="str">
        <f t="shared" si="62"/>
        <v>TX-00181</v>
      </c>
      <c r="B181" s="6">
        <v>44179</v>
      </c>
      <c r="C181" t="str">
        <f t="shared" ca="1" si="45"/>
        <v>Condo</v>
      </c>
      <c r="D181" s="1" t="str">
        <f t="shared" ca="1" si="46"/>
        <v>Cavite</v>
      </c>
      <c r="E181" s="1">
        <f t="shared" ca="1" si="65"/>
        <v>1</v>
      </c>
      <c r="F181" s="1">
        <f t="shared" ca="1" si="65"/>
        <v>1</v>
      </c>
      <c r="G181">
        <f t="shared" ca="1" si="47"/>
        <v>44</v>
      </c>
      <c r="H181">
        <f t="shared" ca="1" si="48"/>
        <v>217</v>
      </c>
      <c r="I181">
        <f t="shared" ca="1" si="49"/>
        <v>2015</v>
      </c>
      <c r="J181" s="2">
        <f t="shared" ca="1" si="50"/>
        <v>6132952</v>
      </c>
      <c r="K181" s="4">
        <f t="shared" ca="1" si="51"/>
        <v>9902012</v>
      </c>
      <c r="L181" t="str">
        <f t="shared" ca="1" si="52"/>
        <v>Joy Ramos</v>
      </c>
      <c r="M181" t="str">
        <f t="shared" ca="1" si="53"/>
        <v>OFW</v>
      </c>
      <c r="N181" t="str">
        <f t="shared" ca="1" si="54"/>
        <v>Installment</v>
      </c>
      <c r="O181" s="1">
        <f t="shared" ca="1" si="55"/>
        <v>107</v>
      </c>
      <c r="P181" s="2">
        <f t="shared" ca="1" si="56"/>
        <v>297060.36</v>
      </c>
      <c r="Q181" s="2">
        <f t="shared" ca="1" si="57"/>
        <v>3769060</v>
      </c>
      <c r="R181" s="3">
        <f t="shared" ca="1" si="58"/>
        <v>225045.72727272726</v>
      </c>
      <c r="S181">
        <f t="shared" ca="1" si="59"/>
        <v>44</v>
      </c>
      <c r="T181" s="2">
        <f t="shared" ca="1" si="60"/>
        <v>6132951.3854411384</v>
      </c>
      <c r="U181" s="17">
        <f t="shared" si="63"/>
        <v>2020</v>
      </c>
      <c r="V181" s="20" t="str">
        <f t="shared" si="61"/>
        <v>Dec-2020</v>
      </c>
    </row>
    <row r="182" spans="1:22" x14ac:dyDescent="0.3">
      <c r="A182" t="str">
        <f t="shared" si="62"/>
        <v>TX-00182</v>
      </c>
      <c r="B182" s="6">
        <v>45434</v>
      </c>
      <c r="C182" t="str">
        <f t="shared" ca="1" si="45"/>
        <v>Condo</v>
      </c>
      <c r="D182" s="1" t="str">
        <f t="shared" ca="1" si="46"/>
        <v>Cavite</v>
      </c>
      <c r="E182" s="1">
        <f t="shared" ref="E182:F201" ca="1" si="66">RANDBETWEEN(1,4)</f>
        <v>4</v>
      </c>
      <c r="F182" s="1">
        <f t="shared" ca="1" si="66"/>
        <v>4</v>
      </c>
      <c r="G182">
        <f t="shared" ca="1" si="47"/>
        <v>93</v>
      </c>
      <c r="H182">
        <f t="shared" ca="1" si="48"/>
        <v>162</v>
      </c>
      <c r="I182">
        <f t="shared" ca="1" si="49"/>
        <v>2018</v>
      </c>
      <c r="J182" s="2">
        <f t="shared" ca="1" si="50"/>
        <v>6503385</v>
      </c>
      <c r="K182" s="4">
        <f t="shared" ca="1" si="51"/>
        <v>12345382</v>
      </c>
      <c r="L182" t="str">
        <f t="shared" ca="1" si="52"/>
        <v>Joy Ramos</v>
      </c>
      <c r="M182" t="str">
        <f t="shared" ca="1" si="53"/>
        <v>Corporation</v>
      </c>
      <c r="N182" t="str">
        <f t="shared" ca="1" si="54"/>
        <v>Pag-IBIG Loan</v>
      </c>
      <c r="O182" s="1">
        <f t="shared" ca="1" si="55"/>
        <v>159</v>
      </c>
      <c r="P182" s="2">
        <f t="shared" ca="1" si="56"/>
        <v>370361.45999999996</v>
      </c>
      <c r="Q182" s="2">
        <f t="shared" ca="1" si="57"/>
        <v>5841997</v>
      </c>
      <c r="R182" s="3">
        <f t="shared" ca="1" si="58"/>
        <v>132746.04301075268</v>
      </c>
      <c r="S182">
        <f t="shared" ca="1" si="59"/>
        <v>93</v>
      </c>
      <c r="T182" s="2">
        <f t="shared" ca="1" si="60"/>
        <v>6503384.1016990384</v>
      </c>
      <c r="U182" s="17">
        <f t="shared" si="63"/>
        <v>2024</v>
      </c>
      <c r="V182" s="20" t="str">
        <f t="shared" si="61"/>
        <v>May-2024</v>
      </c>
    </row>
    <row r="183" spans="1:22" x14ac:dyDescent="0.3">
      <c r="A183" t="str">
        <f t="shared" si="62"/>
        <v>TX-00183</v>
      </c>
      <c r="B183" s="6">
        <v>44013</v>
      </c>
      <c r="C183" t="str">
        <f t="shared" ca="1" si="45"/>
        <v>Condo</v>
      </c>
      <c r="D183" s="1" t="str">
        <f t="shared" ca="1" si="46"/>
        <v>Bulacan</v>
      </c>
      <c r="E183" s="1">
        <f t="shared" ca="1" si="66"/>
        <v>3</v>
      </c>
      <c r="F183" s="1">
        <f t="shared" ca="1" si="66"/>
        <v>3</v>
      </c>
      <c r="G183">
        <f t="shared" ca="1" si="47"/>
        <v>104</v>
      </c>
      <c r="H183">
        <f t="shared" ca="1" si="48"/>
        <v>126</v>
      </c>
      <c r="I183">
        <f t="shared" ca="1" si="49"/>
        <v>2014</v>
      </c>
      <c r="J183" s="2">
        <f t="shared" ca="1" si="50"/>
        <v>3866919</v>
      </c>
      <c r="K183" s="4">
        <f t="shared" ca="1" si="51"/>
        <v>12671525</v>
      </c>
      <c r="L183" t="str">
        <f t="shared" ca="1" si="52"/>
        <v>Michelle Flores</v>
      </c>
      <c r="M183" t="str">
        <f t="shared" ca="1" si="53"/>
        <v>Investor</v>
      </c>
      <c r="N183" t="str">
        <f t="shared" ca="1" si="54"/>
        <v>Installment</v>
      </c>
      <c r="O183" s="1">
        <f t="shared" ca="1" si="55"/>
        <v>382</v>
      </c>
      <c r="P183" s="2">
        <f t="shared" ca="1" si="56"/>
        <v>380145.75</v>
      </c>
      <c r="Q183" s="2">
        <f t="shared" ca="1" si="57"/>
        <v>8804606</v>
      </c>
      <c r="R183" s="3">
        <f t="shared" ca="1" si="58"/>
        <v>121841.58653846153</v>
      </c>
      <c r="S183">
        <f t="shared" ca="1" si="59"/>
        <v>104</v>
      </c>
      <c r="T183" s="2">
        <f t="shared" ca="1" si="60"/>
        <v>3866916.7230953118</v>
      </c>
      <c r="U183" s="17">
        <f t="shared" si="63"/>
        <v>2020</v>
      </c>
      <c r="V183" s="20" t="str">
        <f t="shared" si="61"/>
        <v>Jul-2020</v>
      </c>
    </row>
    <row r="184" spans="1:22" x14ac:dyDescent="0.3">
      <c r="A184" t="str">
        <f t="shared" si="62"/>
        <v>TX-00184</v>
      </c>
      <c r="B184" s="6">
        <v>43600</v>
      </c>
      <c r="C184" t="str">
        <f t="shared" ca="1" si="45"/>
        <v>Land</v>
      </c>
      <c r="D184" s="1" t="str">
        <f t="shared" ca="1" si="46"/>
        <v>Bulacan</v>
      </c>
      <c r="E184" s="1">
        <f t="shared" ca="1" si="66"/>
        <v>1</v>
      </c>
      <c r="F184" s="1">
        <f t="shared" ca="1" si="66"/>
        <v>3</v>
      </c>
      <c r="G184">
        <f t="shared" ca="1" si="47"/>
        <v>173</v>
      </c>
      <c r="H184">
        <f t="shared" ca="1" si="48"/>
        <v>191</v>
      </c>
      <c r="I184">
        <f t="shared" ca="1" si="49"/>
        <v>2012</v>
      </c>
      <c r="J184" s="2">
        <f t="shared" ca="1" si="50"/>
        <v>13199365</v>
      </c>
      <c r="K184" s="4">
        <f t="shared" ca="1" si="51"/>
        <v>9173747</v>
      </c>
      <c r="L184" t="str">
        <f t="shared" ca="1" si="52"/>
        <v>Mary Garcia</v>
      </c>
      <c r="M184" t="str">
        <f t="shared" ca="1" si="53"/>
        <v>OFW</v>
      </c>
      <c r="N184" t="str">
        <f t="shared" ca="1" si="54"/>
        <v>Installment</v>
      </c>
      <c r="O184" s="1">
        <f t="shared" ca="1" si="55"/>
        <v>342</v>
      </c>
      <c r="P184" s="2">
        <f t="shared" ca="1" si="56"/>
        <v>275212.40999999997</v>
      </c>
      <c r="Q184" s="2">
        <f t="shared" ca="1" si="57"/>
        <v>-4025618</v>
      </c>
      <c r="R184" s="3">
        <f t="shared" ca="1" si="58"/>
        <v>48030.089005235604</v>
      </c>
      <c r="S184">
        <f t="shared" ca="1" si="59"/>
        <v>191</v>
      </c>
      <c r="T184" s="2">
        <f t="shared" ca="1" si="60"/>
        <v>13199365.304985732</v>
      </c>
      <c r="U184" s="17">
        <f t="shared" si="63"/>
        <v>2019</v>
      </c>
      <c r="V184" s="20" t="str">
        <f t="shared" si="61"/>
        <v>May-2019</v>
      </c>
    </row>
    <row r="185" spans="1:22" x14ac:dyDescent="0.3">
      <c r="A185" t="str">
        <f t="shared" si="62"/>
        <v>TX-00185</v>
      </c>
      <c r="B185" s="6">
        <v>43795</v>
      </c>
      <c r="C185" t="str">
        <f t="shared" ca="1" si="45"/>
        <v>Commercial</v>
      </c>
      <c r="D185" s="1" t="str">
        <f t="shared" ca="1" si="46"/>
        <v>Makati</v>
      </c>
      <c r="E185" s="1">
        <f t="shared" ca="1" si="66"/>
        <v>4</v>
      </c>
      <c r="F185" s="1">
        <f t="shared" ca="1" si="66"/>
        <v>1</v>
      </c>
      <c r="G185">
        <f t="shared" ca="1" si="47"/>
        <v>143</v>
      </c>
      <c r="H185">
        <f t="shared" ca="1" si="48"/>
        <v>209</v>
      </c>
      <c r="I185">
        <f t="shared" ca="1" si="49"/>
        <v>2017</v>
      </c>
      <c r="J185" s="2">
        <f t="shared" ca="1" si="50"/>
        <v>5782874</v>
      </c>
      <c r="K185" s="4">
        <f t="shared" ca="1" si="51"/>
        <v>3835397</v>
      </c>
      <c r="L185" t="str">
        <f t="shared" ca="1" si="52"/>
        <v>Mark Reyes</v>
      </c>
      <c r="M185" t="str">
        <f t="shared" ca="1" si="53"/>
        <v>Corporation</v>
      </c>
      <c r="N185" t="str">
        <f t="shared" ca="1" si="54"/>
        <v>Installment</v>
      </c>
      <c r="O185" s="1">
        <f t="shared" ca="1" si="55"/>
        <v>100</v>
      </c>
      <c r="P185" s="2">
        <f t="shared" ca="1" si="56"/>
        <v>115061.90999999999</v>
      </c>
      <c r="Q185" s="2">
        <f t="shared" ca="1" si="57"/>
        <v>-1947477</v>
      </c>
      <c r="R185" s="3">
        <f t="shared" ca="1" si="58"/>
        <v>18351.18181818182</v>
      </c>
      <c r="S185">
        <f t="shared" ca="1" si="59"/>
        <v>209</v>
      </c>
      <c r="T185" s="2">
        <f t="shared" ca="1" si="60"/>
        <v>5782874.3367662858</v>
      </c>
      <c r="U185" s="17">
        <f t="shared" si="63"/>
        <v>2019</v>
      </c>
      <c r="V185" s="20" t="str">
        <f t="shared" si="61"/>
        <v>Nov-2019</v>
      </c>
    </row>
    <row r="186" spans="1:22" x14ac:dyDescent="0.3">
      <c r="A186" t="str">
        <f t="shared" si="62"/>
        <v>TX-00186</v>
      </c>
      <c r="B186" s="6">
        <v>45363</v>
      </c>
      <c r="C186" t="str">
        <f t="shared" ca="1" si="45"/>
        <v>Condo</v>
      </c>
      <c r="D186" s="1" t="str">
        <f t="shared" ca="1" si="46"/>
        <v>Laguna</v>
      </c>
      <c r="E186" s="1">
        <f t="shared" ca="1" si="66"/>
        <v>4</v>
      </c>
      <c r="F186" s="1">
        <f t="shared" ca="1" si="66"/>
        <v>3</v>
      </c>
      <c r="G186">
        <f t="shared" ca="1" si="47"/>
        <v>147</v>
      </c>
      <c r="H186">
        <f t="shared" ca="1" si="48"/>
        <v>98</v>
      </c>
      <c r="I186">
        <f t="shared" ca="1" si="49"/>
        <v>2016</v>
      </c>
      <c r="J186" s="2">
        <f t="shared" ca="1" si="50"/>
        <v>6309992</v>
      </c>
      <c r="K186" s="4">
        <f t="shared" ca="1" si="51"/>
        <v>2721868</v>
      </c>
      <c r="L186" t="str">
        <f t="shared" ca="1" si="52"/>
        <v>Anna Mendoza</v>
      </c>
      <c r="M186" t="str">
        <f t="shared" ca="1" si="53"/>
        <v>Investor</v>
      </c>
      <c r="N186" t="str">
        <f t="shared" ca="1" si="54"/>
        <v>Bank Loan</v>
      </c>
      <c r="O186" s="1">
        <f t="shared" ca="1" si="55"/>
        <v>311</v>
      </c>
      <c r="P186" s="2">
        <f t="shared" ca="1" si="56"/>
        <v>81656.039999999994</v>
      </c>
      <c r="Q186" s="2">
        <f t="shared" ca="1" si="57"/>
        <v>-3588124</v>
      </c>
      <c r="R186" s="3">
        <f t="shared" ca="1" si="58"/>
        <v>18516.108843537415</v>
      </c>
      <c r="S186">
        <f t="shared" ca="1" si="59"/>
        <v>147</v>
      </c>
      <c r="T186" s="2">
        <f t="shared" ca="1" si="60"/>
        <v>6309992.5686416086</v>
      </c>
      <c r="U186" s="17">
        <f t="shared" si="63"/>
        <v>2024</v>
      </c>
      <c r="V186" s="20" t="str">
        <f t="shared" si="61"/>
        <v>Mar-2024</v>
      </c>
    </row>
    <row r="187" spans="1:22" x14ac:dyDescent="0.3">
      <c r="A187" t="str">
        <f t="shared" si="62"/>
        <v>TX-00187</v>
      </c>
      <c r="B187" s="6">
        <v>44306</v>
      </c>
      <c r="C187" t="str">
        <f t="shared" ca="1" si="45"/>
        <v>House &amp; Lot</v>
      </c>
      <c r="D187" s="1" t="str">
        <f t="shared" ca="1" si="46"/>
        <v>Bulacan</v>
      </c>
      <c r="E187" s="1">
        <f t="shared" ca="1" si="66"/>
        <v>2</v>
      </c>
      <c r="F187" s="1">
        <f t="shared" ca="1" si="66"/>
        <v>4</v>
      </c>
      <c r="G187">
        <f t="shared" ca="1" si="47"/>
        <v>119</v>
      </c>
      <c r="H187">
        <f t="shared" ca="1" si="48"/>
        <v>162</v>
      </c>
      <c r="I187">
        <f t="shared" ca="1" si="49"/>
        <v>2018</v>
      </c>
      <c r="J187" s="2">
        <f t="shared" ca="1" si="50"/>
        <v>7716441</v>
      </c>
      <c r="K187" s="4">
        <f t="shared" ca="1" si="51"/>
        <v>3610053</v>
      </c>
      <c r="L187" t="str">
        <f t="shared" ca="1" si="52"/>
        <v>Mark Reyes</v>
      </c>
      <c r="M187" t="str">
        <f t="shared" ca="1" si="53"/>
        <v>OFW</v>
      </c>
      <c r="N187" t="str">
        <f t="shared" ca="1" si="54"/>
        <v>Bank Loan</v>
      </c>
      <c r="O187" s="1">
        <f t="shared" ca="1" si="55"/>
        <v>315</v>
      </c>
      <c r="P187" s="2">
        <f t="shared" ca="1" si="56"/>
        <v>108301.59</v>
      </c>
      <c r="Q187" s="2">
        <f t="shared" ca="1" si="57"/>
        <v>-4106388</v>
      </c>
      <c r="R187" s="3">
        <f t="shared" ca="1" si="58"/>
        <v>22284.277777777777</v>
      </c>
      <c r="S187">
        <f t="shared" ca="1" si="59"/>
        <v>162</v>
      </c>
      <c r="T187" s="2">
        <f t="shared" ca="1" si="60"/>
        <v>7716441.5321608754</v>
      </c>
      <c r="U187" s="17">
        <f t="shared" si="63"/>
        <v>2021</v>
      </c>
      <c r="V187" s="20" t="str">
        <f t="shared" si="61"/>
        <v>Apr-2021</v>
      </c>
    </row>
    <row r="188" spans="1:22" x14ac:dyDescent="0.3">
      <c r="A188" t="str">
        <f t="shared" si="62"/>
        <v>TX-00188</v>
      </c>
      <c r="B188" s="6">
        <v>43529</v>
      </c>
      <c r="C188" t="str">
        <f t="shared" ca="1" si="45"/>
        <v>House &amp; Lot</v>
      </c>
      <c r="D188" s="1" t="str">
        <f t="shared" ca="1" si="46"/>
        <v>Laguna</v>
      </c>
      <c r="E188" s="1">
        <f t="shared" ca="1" si="66"/>
        <v>3</v>
      </c>
      <c r="F188" s="1">
        <f t="shared" ca="1" si="66"/>
        <v>3</v>
      </c>
      <c r="G188">
        <f t="shared" ca="1" si="47"/>
        <v>198</v>
      </c>
      <c r="H188">
        <f t="shared" ca="1" si="48"/>
        <v>249</v>
      </c>
      <c r="I188">
        <f t="shared" ca="1" si="49"/>
        <v>2016</v>
      </c>
      <c r="J188" s="2">
        <f t="shared" ca="1" si="50"/>
        <v>8697774</v>
      </c>
      <c r="K188" s="4">
        <f t="shared" ca="1" si="51"/>
        <v>11619884</v>
      </c>
      <c r="L188" t="str">
        <f t="shared" ca="1" si="52"/>
        <v>Anna Mendoza</v>
      </c>
      <c r="M188" t="str">
        <f t="shared" ca="1" si="53"/>
        <v>Corporation</v>
      </c>
      <c r="N188" t="str">
        <f t="shared" ca="1" si="54"/>
        <v>Cash</v>
      </c>
      <c r="O188" s="1">
        <f t="shared" ca="1" si="55"/>
        <v>368</v>
      </c>
      <c r="P188" s="2">
        <f t="shared" ca="1" si="56"/>
        <v>348596.51999999996</v>
      </c>
      <c r="Q188" s="2">
        <f t="shared" ca="1" si="57"/>
        <v>2922110</v>
      </c>
      <c r="R188" s="3">
        <f t="shared" ca="1" si="58"/>
        <v>46666.200803212851</v>
      </c>
      <c r="S188">
        <f t="shared" ca="1" si="59"/>
        <v>249</v>
      </c>
      <c r="T188" s="2">
        <f t="shared" ca="1" si="60"/>
        <v>8697773.6640393287</v>
      </c>
      <c r="U188" s="17">
        <f t="shared" si="63"/>
        <v>2019</v>
      </c>
      <c r="V188" s="20" t="str">
        <f t="shared" si="61"/>
        <v>Mar-2019</v>
      </c>
    </row>
    <row r="189" spans="1:22" x14ac:dyDescent="0.3">
      <c r="A189" t="str">
        <f t="shared" si="62"/>
        <v>TX-00189</v>
      </c>
      <c r="B189" s="6">
        <v>43196</v>
      </c>
      <c r="C189" t="str">
        <f t="shared" ca="1" si="45"/>
        <v>Land</v>
      </c>
      <c r="D189" s="1" t="str">
        <f t="shared" ca="1" si="46"/>
        <v>Bulacan</v>
      </c>
      <c r="E189" s="1">
        <f t="shared" ca="1" si="66"/>
        <v>4</v>
      </c>
      <c r="F189" s="1">
        <f t="shared" ca="1" si="66"/>
        <v>4</v>
      </c>
      <c r="G189">
        <f t="shared" ca="1" si="47"/>
        <v>122</v>
      </c>
      <c r="H189">
        <f t="shared" ca="1" si="48"/>
        <v>217</v>
      </c>
      <c r="I189">
        <f t="shared" ca="1" si="49"/>
        <v>2022</v>
      </c>
      <c r="J189" s="2">
        <f t="shared" ca="1" si="50"/>
        <v>3994907</v>
      </c>
      <c r="K189" s="4">
        <f t="shared" ca="1" si="51"/>
        <v>7191635</v>
      </c>
      <c r="L189" t="str">
        <f t="shared" ca="1" si="52"/>
        <v>Michelle Flores</v>
      </c>
      <c r="M189" t="str">
        <f t="shared" ca="1" si="53"/>
        <v>Corporation</v>
      </c>
      <c r="N189" t="str">
        <f t="shared" ca="1" si="54"/>
        <v>Pag-IBIG Loan</v>
      </c>
      <c r="O189" s="1">
        <f t="shared" ca="1" si="55"/>
        <v>303</v>
      </c>
      <c r="P189" s="2">
        <f t="shared" ca="1" si="56"/>
        <v>215749.05</v>
      </c>
      <c r="Q189" s="2">
        <f t="shared" ca="1" si="57"/>
        <v>3196728</v>
      </c>
      <c r="R189" s="3">
        <f t="shared" ca="1" si="58"/>
        <v>33141.17511520737</v>
      </c>
      <c r="S189">
        <f t="shared" ca="1" si="59"/>
        <v>217</v>
      </c>
      <c r="T189" s="2">
        <f t="shared" ca="1" si="60"/>
        <v>3994906.1997991442</v>
      </c>
      <c r="U189" s="17">
        <f t="shared" si="63"/>
        <v>2018</v>
      </c>
      <c r="V189" s="20" t="str">
        <f t="shared" si="61"/>
        <v>Apr-2018</v>
      </c>
    </row>
    <row r="190" spans="1:22" x14ac:dyDescent="0.3">
      <c r="A190" t="str">
        <f t="shared" si="62"/>
        <v>TX-00190</v>
      </c>
      <c r="B190" s="6">
        <v>44569</v>
      </c>
      <c r="C190" t="str">
        <f t="shared" ca="1" si="45"/>
        <v>Commercial</v>
      </c>
      <c r="D190" s="1" t="str">
        <f t="shared" ca="1" si="46"/>
        <v>Cavite</v>
      </c>
      <c r="E190" s="1">
        <f t="shared" ca="1" si="66"/>
        <v>4</v>
      </c>
      <c r="F190" s="1">
        <f t="shared" ca="1" si="66"/>
        <v>1</v>
      </c>
      <c r="G190">
        <f t="shared" ca="1" si="47"/>
        <v>183</v>
      </c>
      <c r="H190">
        <f t="shared" ca="1" si="48"/>
        <v>97</v>
      </c>
      <c r="I190">
        <f t="shared" ca="1" si="49"/>
        <v>2014</v>
      </c>
      <c r="J190" s="2">
        <f t="shared" ca="1" si="50"/>
        <v>10980884</v>
      </c>
      <c r="K190" s="4">
        <f t="shared" ca="1" si="51"/>
        <v>4200018</v>
      </c>
      <c r="L190" t="str">
        <f t="shared" ca="1" si="52"/>
        <v>Mark Reyes</v>
      </c>
      <c r="M190" t="str">
        <f t="shared" ca="1" si="53"/>
        <v>Individual</v>
      </c>
      <c r="N190" t="str">
        <f t="shared" ca="1" si="54"/>
        <v>Installment</v>
      </c>
      <c r="O190" s="1">
        <f t="shared" ca="1" si="55"/>
        <v>365</v>
      </c>
      <c r="P190" s="2">
        <f t="shared" ca="1" si="56"/>
        <v>126000.54</v>
      </c>
      <c r="Q190" s="2">
        <f t="shared" ca="1" si="57"/>
        <v>-6780866</v>
      </c>
      <c r="R190" s="3">
        <f t="shared" ca="1" si="58"/>
        <v>43299.154639175256</v>
      </c>
      <c r="S190">
        <f t="shared" ca="1" si="59"/>
        <v>97</v>
      </c>
      <c r="T190" s="2">
        <f t="shared" ca="1" si="60"/>
        <v>10980884.617515493</v>
      </c>
      <c r="U190" s="17">
        <f t="shared" si="63"/>
        <v>2022</v>
      </c>
      <c r="V190" s="20" t="str">
        <f t="shared" si="61"/>
        <v>Jan-2022</v>
      </c>
    </row>
    <row r="191" spans="1:22" x14ac:dyDescent="0.3">
      <c r="A191" t="str">
        <f t="shared" si="62"/>
        <v>TX-00191</v>
      </c>
      <c r="B191" s="6">
        <v>45793</v>
      </c>
      <c r="C191" t="str">
        <f t="shared" ca="1" si="45"/>
        <v>Commercial</v>
      </c>
      <c r="D191" s="1" t="str">
        <f t="shared" ca="1" si="46"/>
        <v>Makati</v>
      </c>
      <c r="E191" s="1">
        <f t="shared" ca="1" si="66"/>
        <v>4</v>
      </c>
      <c r="F191" s="1">
        <f t="shared" ca="1" si="66"/>
        <v>2</v>
      </c>
      <c r="G191">
        <f t="shared" ca="1" si="47"/>
        <v>60</v>
      </c>
      <c r="H191">
        <f t="shared" ca="1" si="48"/>
        <v>105</v>
      </c>
      <c r="I191">
        <f t="shared" ca="1" si="49"/>
        <v>2014</v>
      </c>
      <c r="J191" s="2">
        <f t="shared" ca="1" si="50"/>
        <v>9838186</v>
      </c>
      <c r="K191" s="4">
        <f t="shared" ca="1" si="51"/>
        <v>4697370</v>
      </c>
      <c r="L191" t="str">
        <f t="shared" ca="1" si="52"/>
        <v>John Dela Cruz</v>
      </c>
      <c r="M191" t="str">
        <f t="shared" ca="1" si="53"/>
        <v>OFW</v>
      </c>
      <c r="N191" t="str">
        <f t="shared" ca="1" si="54"/>
        <v>Installment</v>
      </c>
      <c r="O191" s="1">
        <f t="shared" ca="1" si="55"/>
        <v>146</v>
      </c>
      <c r="P191" s="2">
        <f t="shared" ca="1" si="56"/>
        <v>140921.1</v>
      </c>
      <c r="Q191" s="2">
        <f t="shared" ca="1" si="57"/>
        <v>-5140816</v>
      </c>
      <c r="R191" s="3">
        <f t="shared" ca="1" si="58"/>
        <v>44736.857142857145</v>
      </c>
      <c r="S191">
        <f t="shared" ca="1" si="59"/>
        <v>105</v>
      </c>
      <c r="T191" s="2">
        <f t="shared" ca="1" si="60"/>
        <v>9838186.52253698</v>
      </c>
      <c r="U191" s="17">
        <f t="shared" si="63"/>
        <v>2025</v>
      </c>
      <c r="V191" s="20" t="str">
        <f t="shared" si="61"/>
        <v>May-2025</v>
      </c>
    </row>
    <row r="192" spans="1:22" x14ac:dyDescent="0.3">
      <c r="A192" t="str">
        <f t="shared" si="62"/>
        <v>TX-00192</v>
      </c>
      <c r="B192" s="6">
        <v>43870</v>
      </c>
      <c r="C192" t="str">
        <f t="shared" ca="1" si="45"/>
        <v>Commercial</v>
      </c>
      <c r="D192" s="1" t="str">
        <f t="shared" ca="1" si="46"/>
        <v>Bulacan</v>
      </c>
      <c r="E192" s="1">
        <f t="shared" ca="1" si="66"/>
        <v>3</v>
      </c>
      <c r="F192" s="1">
        <f t="shared" ca="1" si="66"/>
        <v>3</v>
      </c>
      <c r="G192">
        <f t="shared" ca="1" si="47"/>
        <v>172</v>
      </c>
      <c r="H192">
        <f t="shared" ca="1" si="48"/>
        <v>67</v>
      </c>
      <c r="I192">
        <f t="shared" ca="1" si="49"/>
        <v>2010</v>
      </c>
      <c r="J192" s="2">
        <f t="shared" ca="1" si="50"/>
        <v>14423956</v>
      </c>
      <c r="K192" s="4">
        <f t="shared" ca="1" si="51"/>
        <v>5023261</v>
      </c>
      <c r="L192" t="str">
        <f t="shared" ca="1" si="52"/>
        <v>Michelle Flores</v>
      </c>
      <c r="M192" t="str">
        <f t="shared" ca="1" si="53"/>
        <v>Investor</v>
      </c>
      <c r="N192" t="str">
        <f t="shared" ca="1" si="54"/>
        <v>Bank Loan</v>
      </c>
      <c r="O192" s="1">
        <f t="shared" ca="1" si="55"/>
        <v>201</v>
      </c>
      <c r="P192" s="2">
        <f t="shared" ca="1" si="56"/>
        <v>150697.82999999999</v>
      </c>
      <c r="Q192" s="2">
        <f t="shared" ca="1" si="57"/>
        <v>-9400695</v>
      </c>
      <c r="R192" s="3">
        <f t="shared" ca="1" si="58"/>
        <v>74974.044776119408</v>
      </c>
      <c r="S192">
        <f t="shared" ca="1" si="59"/>
        <v>67</v>
      </c>
      <c r="T192" s="2">
        <f t="shared" ca="1" si="60"/>
        <v>14423956.651741797</v>
      </c>
      <c r="U192" s="17">
        <f t="shared" si="63"/>
        <v>2020</v>
      </c>
      <c r="V192" s="20" t="str">
        <f t="shared" si="61"/>
        <v>Feb-2020</v>
      </c>
    </row>
    <row r="193" spans="1:22" x14ac:dyDescent="0.3">
      <c r="A193" t="str">
        <f t="shared" si="62"/>
        <v>TX-00193</v>
      </c>
      <c r="B193" s="6">
        <v>45553</v>
      </c>
      <c r="C193" t="str">
        <f t="shared" ca="1" si="45"/>
        <v>Land</v>
      </c>
      <c r="D193" s="1" t="str">
        <f t="shared" ca="1" si="46"/>
        <v>Laguna</v>
      </c>
      <c r="E193" s="1">
        <f t="shared" ca="1" si="66"/>
        <v>4</v>
      </c>
      <c r="F193" s="1">
        <f t="shared" ca="1" si="66"/>
        <v>4</v>
      </c>
      <c r="G193">
        <f t="shared" ca="1" si="47"/>
        <v>70</v>
      </c>
      <c r="H193">
        <f t="shared" ca="1" si="48"/>
        <v>123</v>
      </c>
      <c r="I193">
        <f t="shared" ca="1" si="49"/>
        <v>2014</v>
      </c>
      <c r="J193" s="2">
        <f t="shared" ca="1" si="50"/>
        <v>2815886</v>
      </c>
      <c r="K193" s="4">
        <f t="shared" ca="1" si="51"/>
        <v>11135123</v>
      </c>
      <c r="L193" t="str">
        <f t="shared" ca="1" si="52"/>
        <v>Joy Ramos</v>
      </c>
      <c r="M193" t="str">
        <f t="shared" ca="1" si="53"/>
        <v>Individual</v>
      </c>
      <c r="N193" t="str">
        <f t="shared" ca="1" si="54"/>
        <v>Pag-IBIG Loan</v>
      </c>
      <c r="O193" s="1">
        <f t="shared" ca="1" si="55"/>
        <v>307</v>
      </c>
      <c r="P193" s="2">
        <f t="shared" ca="1" si="56"/>
        <v>334053.69</v>
      </c>
      <c r="Q193" s="2">
        <f t="shared" ca="1" si="57"/>
        <v>8319237</v>
      </c>
      <c r="R193" s="3">
        <f t="shared" ca="1" si="58"/>
        <v>90529.455284552852</v>
      </c>
      <c r="S193">
        <f t="shared" ca="1" si="59"/>
        <v>123</v>
      </c>
      <c r="T193" s="2">
        <f t="shared" ca="1" si="60"/>
        <v>2815883.0456058946</v>
      </c>
      <c r="U193" s="17">
        <f t="shared" si="63"/>
        <v>2024</v>
      </c>
      <c r="V193" s="20" t="str">
        <f t="shared" si="61"/>
        <v>Sep-2024</v>
      </c>
    </row>
    <row r="194" spans="1:22" x14ac:dyDescent="0.3">
      <c r="A194" t="str">
        <f t="shared" si="62"/>
        <v>TX-00194</v>
      </c>
      <c r="B194" s="6">
        <v>45177</v>
      </c>
      <c r="C194" t="str">
        <f t="shared" ref="C194:C257" ca="1" si="67">CHOOSE(RANDBETWEEN(1,4),"Condo","House &amp; Lot","Commercial","Land")</f>
        <v>Condo</v>
      </c>
      <c r="D194" s="1" t="str">
        <f t="shared" ref="D194:D257" ca="1" si="68">CHOOSE(RANDBETWEEN(1,4),"Laguna","Makati","Cavite","Bulacan")</f>
        <v>Makati</v>
      </c>
      <c r="E194" s="1">
        <f t="shared" ca="1" si="66"/>
        <v>3</v>
      </c>
      <c r="F194" s="1">
        <f t="shared" ca="1" si="66"/>
        <v>3</v>
      </c>
      <c r="G194">
        <f t="shared" ref="G194:G257" ca="1" si="69">RANDBETWEEN(40,200)</f>
        <v>120</v>
      </c>
      <c r="H194">
        <f t="shared" ref="H194:H257" ca="1" si="70">RANDBETWEEN(50,250)</f>
        <v>86</v>
      </c>
      <c r="I194">
        <f t="shared" ref="I194:I257" ca="1" si="71">RANDBETWEEN(2010,2023)</f>
        <v>2018</v>
      </c>
      <c r="J194" s="2">
        <f t="shared" ref="J194:J257" ca="1" si="72">RANDBETWEEN(2000000,15000000)</f>
        <v>7780637</v>
      </c>
      <c r="K194" s="4">
        <f t="shared" ref="K194:K257" ca="1" si="73">RANDBETWEEN(1500000,13000000)</f>
        <v>5606332</v>
      </c>
      <c r="L194" t="str">
        <f t="shared" ref="L194:L257" ca="1" si="74">CHOOSE(RANDBETWEEN(1,9),"John Dela Cruz", "Michael Santos", "Mark Reyes", "Daniel Cruz", "Mary Garcia","Anna Mendoza", "Michelle Flores", "Rachel Villanueva", "Joy Ramos")</f>
        <v>Michelle Flores</v>
      </c>
      <c r="M194" t="str">
        <f t="shared" ref="M194:M257" ca="1" si="75">CHOOSE(RANDBETWEEN(1,4),"Individual", "Corporation", "OFW", "Investor")</f>
        <v>Individual</v>
      </c>
      <c r="N194" t="str">
        <f t="shared" ref="N194:N257" ca="1" si="76">CHOOSE(RANDBETWEEN(1,4),"Cash", "Bank Loan", "Pag-IBIG Loan", "Installment")</f>
        <v>Pag-IBIG Loan</v>
      </c>
      <c r="O194" s="1">
        <f t="shared" ref="O194:O257" ca="1" si="77">RANDBETWEEN(100,400)</f>
        <v>311</v>
      </c>
      <c r="P194" s="2">
        <f t="shared" ref="P194:P257" ca="1" si="78">SUM(K194*0.03)</f>
        <v>168189.96</v>
      </c>
      <c r="Q194" s="2">
        <f t="shared" ref="Q194:Q257" ca="1" si="79">SUM(K194-J194)</f>
        <v>-2174305</v>
      </c>
      <c r="R194" s="3">
        <f t="shared" ref="R194:R257" ca="1" si="80">SUM(K194/S194)</f>
        <v>46719.433333333334</v>
      </c>
      <c r="S194">
        <f t="shared" ref="S194:S257" ca="1" si="81">IF(C194="Condo", G194,H194)</f>
        <v>120</v>
      </c>
      <c r="T194" s="2">
        <f t="shared" ref="T194:T257" ca="1" si="82">SUM(J194-Q194/J194)</f>
        <v>7780637.2794507695</v>
      </c>
      <c r="U194" s="17">
        <f t="shared" si="63"/>
        <v>2023</v>
      </c>
      <c r="V194" s="20" t="str">
        <f t="shared" ref="V194:V257" si="83">TEXT(B194,"mmm-yyyy")</f>
        <v>Sep-2023</v>
      </c>
    </row>
    <row r="195" spans="1:22" x14ac:dyDescent="0.3">
      <c r="A195" t="str">
        <f t="shared" ref="A195:A258" si="84">"TX-" &amp; TEXT(ROW(),"00000")</f>
        <v>TX-00195</v>
      </c>
      <c r="B195" s="6">
        <v>44671</v>
      </c>
      <c r="C195" t="str">
        <f t="shared" ca="1" si="67"/>
        <v>Commercial</v>
      </c>
      <c r="D195" s="1" t="str">
        <f t="shared" ca="1" si="68"/>
        <v>Laguna</v>
      </c>
      <c r="E195" s="1">
        <f t="shared" ca="1" si="66"/>
        <v>1</v>
      </c>
      <c r="F195" s="1">
        <f t="shared" ca="1" si="66"/>
        <v>2</v>
      </c>
      <c r="G195">
        <f t="shared" ca="1" si="69"/>
        <v>117</v>
      </c>
      <c r="H195">
        <f t="shared" ca="1" si="70"/>
        <v>161</v>
      </c>
      <c r="I195">
        <f t="shared" ca="1" si="71"/>
        <v>2021</v>
      </c>
      <c r="J195" s="2">
        <f t="shared" ca="1" si="72"/>
        <v>8588913</v>
      </c>
      <c r="K195" s="4">
        <f t="shared" ca="1" si="73"/>
        <v>1564973</v>
      </c>
      <c r="L195" t="str">
        <f t="shared" ca="1" si="74"/>
        <v>Anna Mendoza</v>
      </c>
      <c r="M195" t="str">
        <f t="shared" ca="1" si="75"/>
        <v>Investor</v>
      </c>
      <c r="N195" t="str">
        <f t="shared" ca="1" si="76"/>
        <v>Cash</v>
      </c>
      <c r="O195" s="1">
        <f t="shared" ca="1" si="77"/>
        <v>369</v>
      </c>
      <c r="P195" s="2">
        <f t="shared" ca="1" si="78"/>
        <v>46949.189999999995</v>
      </c>
      <c r="Q195" s="2">
        <f t="shared" ca="1" si="79"/>
        <v>-7023940</v>
      </c>
      <c r="R195" s="3">
        <f t="shared" ca="1" si="80"/>
        <v>9720.3291925465837</v>
      </c>
      <c r="S195">
        <f t="shared" ca="1" si="81"/>
        <v>161</v>
      </c>
      <c r="T195" s="2">
        <f t="shared" ca="1" si="82"/>
        <v>8588913.8177914955</v>
      </c>
      <c r="U195" s="17">
        <f t="shared" ref="U195:U258" si="85">YEAR(B195)</f>
        <v>2022</v>
      </c>
      <c r="V195" s="20" t="str">
        <f t="shared" si="83"/>
        <v>Apr-2022</v>
      </c>
    </row>
    <row r="196" spans="1:22" x14ac:dyDescent="0.3">
      <c r="A196" t="str">
        <f t="shared" si="84"/>
        <v>TX-00196</v>
      </c>
      <c r="B196" s="6">
        <v>46112</v>
      </c>
      <c r="C196" t="str">
        <f t="shared" ca="1" si="67"/>
        <v>Condo</v>
      </c>
      <c r="D196" s="1" t="str">
        <f t="shared" ca="1" si="68"/>
        <v>Cavite</v>
      </c>
      <c r="E196" s="1">
        <f t="shared" ca="1" si="66"/>
        <v>1</v>
      </c>
      <c r="F196" s="1">
        <f t="shared" ca="1" si="66"/>
        <v>1</v>
      </c>
      <c r="G196">
        <f t="shared" ca="1" si="69"/>
        <v>185</v>
      </c>
      <c r="H196">
        <f t="shared" ca="1" si="70"/>
        <v>175</v>
      </c>
      <c r="I196">
        <f t="shared" ca="1" si="71"/>
        <v>2013</v>
      </c>
      <c r="J196" s="2">
        <f t="shared" ca="1" si="72"/>
        <v>6952326</v>
      </c>
      <c r="K196" s="4">
        <f t="shared" ca="1" si="73"/>
        <v>8128000</v>
      </c>
      <c r="L196" t="str">
        <f t="shared" ca="1" si="74"/>
        <v>Rachel Villanueva</v>
      </c>
      <c r="M196" t="str">
        <f t="shared" ca="1" si="75"/>
        <v>Individual</v>
      </c>
      <c r="N196" t="str">
        <f t="shared" ca="1" si="76"/>
        <v>Cash</v>
      </c>
      <c r="O196" s="1">
        <f t="shared" ca="1" si="77"/>
        <v>317</v>
      </c>
      <c r="P196" s="2">
        <f t="shared" ca="1" si="78"/>
        <v>243840</v>
      </c>
      <c r="Q196" s="2">
        <f t="shared" ca="1" si="79"/>
        <v>1175674</v>
      </c>
      <c r="R196" s="3">
        <f t="shared" ca="1" si="80"/>
        <v>43935.135135135133</v>
      </c>
      <c r="S196">
        <f t="shared" ca="1" si="81"/>
        <v>185</v>
      </c>
      <c r="T196" s="2">
        <f t="shared" ca="1" si="82"/>
        <v>6952325.8308948688</v>
      </c>
      <c r="U196" s="17">
        <f t="shared" si="85"/>
        <v>2026</v>
      </c>
      <c r="V196" s="20" t="str">
        <f t="shared" si="83"/>
        <v>Mar-2026</v>
      </c>
    </row>
    <row r="197" spans="1:22" x14ac:dyDescent="0.3">
      <c r="A197" t="str">
        <f t="shared" si="84"/>
        <v>TX-00197</v>
      </c>
      <c r="B197" s="6">
        <v>45302</v>
      </c>
      <c r="C197" t="str">
        <f t="shared" ca="1" si="67"/>
        <v>Commercial</v>
      </c>
      <c r="D197" s="1" t="str">
        <f t="shared" ca="1" si="68"/>
        <v>Makati</v>
      </c>
      <c r="E197" s="1">
        <f t="shared" ca="1" si="66"/>
        <v>3</v>
      </c>
      <c r="F197" s="1">
        <f t="shared" ca="1" si="66"/>
        <v>2</v>
      </c>
      <c r="G197">
        <f t="shared" ca="1" si="69"/>
        <v>131</v>
      </c>
      <c r="H197">
        <f t="shared" ca="1" si="70"/>
        <v>154</v>
      </c>
      <c r="I197">
        <f t="shared" ca="1" si="71"/>
        <v>2018</v>
      </c>
      <c r="J197" s="2">
        <f t="shared" ca="1" si="72"/>
        <v>14721914</v>
      </c>
      <c r="K197" s="4">
        <f t="shared" ca="1" si="73"/>
        <v>11977268</v>
      </c>
      <c r="L197" t="str">
        <f t="shared" ca="1" si="74"/>
        <v>Rachel Villanueva</v>
      </c>
      <c r="M197" t="str">
        <f t="shared" ca="1" si="75"/>
        <v>Individual</v>
      </c>
      <c r="N197" t="str">
        <f t="shared" ca="1" si="76"/>
        <v>Cash</v>
      </c>
      <c r="O197" s="1">
        <f t="shared" ca="1" si="77"/>
        <v>254</v>
      </c>
      <c r="P197" s="2">
        <f t="shared" ca="1" si="78"/>
        <v>359318.04</v>
      </c>
      <c r="Q197" s="2">
        <f t="shared" ca="1" si="79"/>
        <v>-2744646</v>
      </c>
      <c r="R197" s="3">
        <f t="shared" ca="1" si="80"/>
        <v>77774.467532467534</v>
      </c>
      <c r="S197">
        <f t="shared" ca="1" si="81"/>
        <v>154</v>
      </c>
      <c r="T197" s="2">
        <f t="shared" ca="1" si="82"/>
        <v>14721914.186432688</v>
      </c>
      <c r="U197" s="17">
        <f t="shared" si="85"/>
        <v>2024</v>
      </c>
      <c r="V197" s="20" t="str">
        <f t="shared" si="83"/>
        <v>Jan-2024</v>
      </c>
    </row>
    <row r="198" spans="1:22" x14ac:dyDescent="0.3">
      <c r="A198" t="str">
        <f t="shared" si="84"/>
        <v>TX-00198</v>
      </c>
      <c r="B198" s="6">
        <v>45086</v>
      </c>
      <c r="C198" t="str">
        <f t="shared" ca="1" si="67"/>
        <v>Land</v>
      </c>
      <c r="D198" s="1" t="str">
        <f t="shared" ca="1" si="68"/>
        <v>Makati</v>
      </c>
      <c r="E198" s="1">
        <f t="shared" ca="1" si="66"/>
        <v>3</v>
      </c>
      <c r="F198" s="1">
        <f t="shared" ca="1" si="66"/>
        <v>2</v>
      </c>
      <c r="G198">
        <f t="shared" ca="1" si="69"/>
        <v>50</v>
      </c>
      <c r="H198">
        <f t="shared" ca="1" si="70"/>
        <v>132</v>
      </c>
      <c r="I198">
        <f t="shared" ca="1" si="71"/>
        <v>2018</v>
      </c>
      <c r="J198" s="2">
        <f t="shared" ca="1" si="72"/>
        <v>11245612</v>
      </c>
      <c r="K198" s="4">
        <f t="shared" ca="1" si="73"/>
        <v>5745069</v>
      </c>
      <c r="L198" t="str">
        <f t="shared" ca="1" si="74"/>
        <v>Daniel Cruz</v>
      </c>
      <c r="M198" t="str">
        <f t="shared" ca="1" si="75"/>
        <v>Investor</v>
      </c>
      <c r="N198" t="str">
        <f t="shared" ca="1" si="76"/>
        <v>Bank Loan</v>
      </c>
      <c r="O198" s="1">
        <f t="shared" ca="1" si="77"/>
        <v>292</v>
      </c>
      <c r="P198" s="2">
        <f t="shared" ca="1" si="78"/>
        <v>172352.07</v>
      </c>
      <c r="Q198" s="2">
        <f t="shared" ca="1" si="79"/>
        <v>-5500543</v>
      </c>
      <c r="R198" s="3">
        <f t="shared" ca="1" si="80"/>
        <v>43523.25</v>
      </c>
      <c r="S198">
        <f t="shared" ca="1" si="81"/>
        <v>132</v>
      </c>
      <c r="T198" s="2">
        <f t="shared" ca="1" si="82"/>
        <v>11245612.489127938</v>
      </c>
      <c r="U198" s="17">
        <f t="shared" si="85"/>
        <v>2023</v>
      </c>
      <c r="V198" s="20" t="str">
        <f t="shared" si="83"/>
        <v>Jun-2023</v>
      </c>
    </row>
    <row r="199" spans="1:22" x14ac:dyDescent="0.3">
      <c r="A199" t="str">
        <f t="shared" si="84"/>
        <v>TX-00199</v>
      </c>
      <c r="B199" s="6">
        <v>46044</v>
      </c>
      <c r="C199" t="str">
        <f t="shared" ca="1" si="67"/>
        <v>Condo</v>
      </c>
      <c r="D199" s="1" t="str">
        <f t="shared" ca="1" si="68"/>
        <v>Cavite</v>
      </c>
      <c r="E199" s="1">
        <f t="shared" ca="1" si="66"/>
        <v>2</v>
      </c>
      <c r="F199" s="1">
        <f t="shared" ca="1" si="66"/>
        <v>4</v>
      </c>
      <c r="G199">
        <f t="shared" ca="1" si="69"/>
        <v>175</v>
      </c>
      <c r="H199">
        <f t="shared" ca="1" si="70"/>
        <v>159</v>
      </c>
      <c r="I199">
        <f t="shared" ca="1" si="71"/>
        <v>2021</v>
      </c>
      <c r="J199" s="2">
        <f t="shared" ca="1" si="72"/>
        <v>2556652</v>
      </c>
      <c r="K199" s="4">
        <f t="shared" ca="1" si="73"/>
        <v>9429004</v>
      </c>
      <c r="L199" t="str">
        <f t="shared" ca="1" si="74"/>
        <v>Michael Santos</v>
      </c>
      <c r="M199" t="str">
        <f t="shared" ca="1" si="75"/>
        <v>Investor</v>
      </c>
      <c r="N199" t="str">
        <f t="shared" ca="1" si="76"/>
        <v>Cash</v>
      </c>
      <c r="O199" s="1">
        <f t="shared" ca="1" si="77"/>
        <v>231</v>
      </c>
      <c r="P199" s="2">
        <f t="shared" ca="1" si="78"/>
        <v>282870.12</v>
      </c>
      <c r="Q199" s="2">
        <f t="shared" ca="1" si="79"/>
        <v>6872352</v>
      </c>
      <c r="R199" s="3">
        <f t="shared" ca="1" si="80"/>
        <v>53880.02285714286</v>
      </c>
      <c r="S199">
        <f t="shared" ca="1" si="81"/>
        <v>175</v>
      </c>
      <c r="T199" s="2">
        <f t="shared" ca="1" si="82"/>
        <v>2556649.3119720635</v>
      </c>
      <c r="U199" s="17">
        <f t="shared" si="85"/>
        <v>2026</v>
      </c>
      <c r="V199" s="20" t="str">
        <f t="shared" si="83"/>
        <v>Jan-2026</v>
      </c>
    </row>
    <row r="200" spans="1:22" x14ac:dyDescent="0.3">
      <c r="A200" t="str">
        <f t="shared" si="84"/>
        <v>TX-00200</v>
      </c>
      <c r="B200" s="6">
        <v>44869</v>
      </c>
      <c r="C200" t="str">
        <f t="shared" ca="1" si="67"/>
        <v>Land</v>
      </c>
      <c r="D200" s="1" t="str">
        <f t="shared" ca="1" si="68"/>
        <v>Cavite</v>
      </c>
      <c r="E200" s="1">
        <f t="shared" ca="1" si="66"/>
        <v>3</v>
      </c>
      <c r="F200" s="1">
        <f t="shared" ca="1" si="66"/>
        <v>2</v>
      </c>
      <c r="G200">
        <f t="shared" ca="1" si="69"/>
        <v>132</v>
      </c>
      <c r="H200">
        <f t="shared" ca="1" si="70"/>
        <v>125</v>
      </c>
      <c r="I200">
        <f t="shared" ca="1" si="71"/>
        <v>2021</v>
      </c>
      <c r="J200" s="2">
        <f t="shared" ca="1" si="72"/>
        <v>3037937</v>
      </c>
      <c r="K200" s="4">
        <f t="shared" ca="1" si="73"/>
        <v>11049786</v>
      </c>
      <c r="L200" t="str">
        <f t="shared" ca="1" si="74"/>
        <v>Michelle Flores</v>
      </c>
      <c r="M200" t="str">
        <f t="shared" ca="1" si="75"/>
        <v>Individual</v>
      </c>
      <c r="N200" t="str">
        <f t="shared" ca="1" si="76"/>
        <v>Cash</v>
      </c>
      <c r="O200" s="1">
        <f t="shared" ca="1" si="77"/>
        <v>195</v>
      </c>
      <c r="P200" s="2">
        <f t="shared" ca="1" si="78"/>
        <v>331493.58</v>
      </c>
      <c r="Q200" s="2">
        <f t="shared" ca="1" si="79"/>
        <v>8011849</v>
      </c>
      <c r="R200" s="3">
        <f t="shared" ca="1" si="80"/>
        <v>88398.288</v>
      </c>
      <c r="S200">
        <f t="shared" ca="1" si="81"/>
        <v>125</v>
      </c>
      <c r="T200" s="2">
        <f t="shared" ca="1" si="82"/>
        <v>3037934.3627336579</v>
      </c>
      <c r="U200" s="17">
        <f t="shared" si="85"/>
        <v>2022</v>
      </c>
      <c r="V200" s="20" t="str">
        <f t="shared" si="83"/>
        <v>Nov-2022</v>
      </c>
    </row>
    <row r="201" spans="1:22" x14ac:dyDescent="0.3">
      <c r="A201" t="str">
        <f t="shared" si="84"/>
        <v>TX-00201</v>
      </c>
      <c r="B201" s="6">
        <v>46089</v>
      </c>
      <c r="C201" t="str">
        <f t="shared" ca="1" si="67"/>
        <v>Condo</v>
      </c>
      <c r="D201" s="1" t="str">
        <f t="shared" ca="1" si="68"/>
        <v>Makati</v>
      </c>
      <c r="E201" s="1">
        <f t="shared" ca="1" si="66"/>
        <v>2</v>
      </c>
      <c r="F201" s="1">
        <f t="shared" ca="1" si="66"/>
        <v>1</v>
      </c>
      <c r="G201">
        <f t="shared" ca="1" si="69"/>
        <v>116</v>
      </c>
      <c r="H201">
        <f t="shared" ca="1" si="70"/>
        <v>187</v>
      </c>
      <c r="I201">
        <f t="shared" ca="1" si="71"/>
        <v>2010</v>
      </c>
      <c r="J201" s="2">
        <f t="shared" ca="1" si="72"/>
        <v>7302958</v>
      </c>
      <c r="K201" s="4">
        <f t="shared" ca="1" si="73"/>
        <v>5163761</v>
      </c>
      <c r="L201" t="str">
        <f t="shared" ca="1" si="74"/>
        <v>Michelle Flores</v>
      </c>
      <c r="M201" t="str">
        <f t="shared" ca="1" si="75"/>
        <v>Corporation</v>
      </c>
      <c r="N201" t="str">
        <f t="shared" ca="1" si="76"/>
        <v>Installment</v>
      </c>
      <c r="O201" s="1">
        <f t="shared" ca="1" si="77"/>
        <v>361</v>
      </c>
      <c r="P201" s="2">
        <f t="shared" ca="1" si="78"/>
        <v>154912.82999999999</v>
      </c>
      <c r="Q201" s="2">
        <f t="shared" ca="1" si="79"/>
        <v>-2139197</v>
      </c>
      <c r="R201" s="3">
        <f t="shared" ca="1" si="80"/>
        <v>44515.181034482761</v>
      </c>
      <c r="S201">
        <f t="shared" ca="1" si="81"/>
        <v>116</v>
      </c>
      <c r="T201" s="2">
        <f t="shared" ca="1" si="82"/>
        <v>7302958.2929219911</v>
      </c>
      <c r="U201" s="17">
        <f t="shared" si="85"/>
        <v>2026</v>
      </c>
      <c r="V201" s="20" t="str">
        <f t="shared" si="83"/>
        <v>Mar-2026</v>
      </c>
    </row>
    <row r="202" spans="1:22" x14ac:dyDescent="0.3">
      <c r="A202" t="str">
        <f t="shared" si="84"/>
        <v>TX-00202</v>
      </c>
      <c r="B202" s="6">
        <v>44470</v>
      </c>
      <c r="C202" t="str">
        <f t="shared" ca="1" si="67"/>
        <v>House &amp; Lot</v>
      </c>
      <c r="D202" s="1" t="str">
        <f t="shared" ca="1" si="68"/>
        <v>Laguna</v>
      </c>
      <c r="E202" s="1">
        <f t="shared" ref="E202:F221" ca="1" si="86">RANDBETWEEN(1,4)</f>
        <v>4</v>
      </c>
      <c r="F202" s="1">
        <f t="shared" ca="1" si="86"/>
        <v>1</v>
      </c>
      <c r="G202">
        <f t="shared" ca="1" si="69"/>
        <v>163</v>
      </c>
      <c r="H202">
        <f t="shared" ca="1" si="70"/>
        <v>101</v>
      </c>
      <c r="I202">
        <f t="shared" ca="1" si="71"/>
        <v>2010</v>
      </c>
      <c r="J202" s="2">
        <f t="shared" ca="1" si="72"/>
        <v>11208267</v>
      </c>
      <c r="K202" s="4">
        <f t="shared" ca="1" si="73"/>
        <v>2645136</v>
      </c>
      <c r="L202" t="str">
        <f t="shared" ca="1" si="74"/>
        <v>John Dela Cruz</v>
      </c>
      <c r="M202" t="str">
        <f t="shared" ca="1" si="75"/>
        <v>Individual</v>
      </c>
      <c r="N202" t="str">
        <f t="shared" ca="1" si="76"/>
        <v>Pag-IBIG Loan</v>
      </c>
      <c r="O202" s="1">
        <f t="shared" ca="1" si="77"/>
        <v>340</v>
      </c>
      <c r="P202" s="2">
        <f t="shared" ca="1" si="78"/>
        <v>79354.080000000002</v>
      </c>
      <c r="Q202" s="2">
        <f t="shared" ca="1" si="79"/>
        <v>-8563131</v>
      </c>
      <c r="R202" s="3">
        <f t="shared" ca="1" si="80"/>
        <v>26189.465346534653</v>
      </c>
      <c r="S202">
        <f t="shared" ca="1" si="81"/>
        <v>101</v>
      </c>
      <c r="T202" s="2">
        <f t="shared" ca="1" si="82"/>
        <v>11208267.76400134</v>
      </c>
      <c r="U202" s="17">
        <f t="shared" si="85"/>
        <v>2021</v>
      </c>
      <c r="V202" s="20" t="str">
        <f t="shared" si="83"/>
        <v>Oct-2021</v>
      </c>
    </row>
    <row r="203" spans="1:22" x14ac:dyDescent="0.3">
      <c r="A203" t="str">
        <f t="shared" si="84"/>
        <v>TX-00203</v>
      </c>
      <c r="B203" s="6">
        <v>43717</v>
      </c>
      <c r="C203" t="str">
        <f t="shared" ca="1" si="67"/>
        <v>Commercial</v>
      </c>
      <c r="D203" s="1" t="str">
        <f t="shared" ca="1" si="68"/>
        <v>Bulacan</v>
      </c>
      <c r="E203" s="1">
        <f t="shared" ca="1" si="86"/>
        <v>3</v>
      </c>
      <c r="F203" s="1">
        <f t="shared" ca="1" si="86"/>
        <v>1</v>
      </c>
      <c r="G203">
        <f t="shared" ca="1" si="69"/>
        <v>192</v>
      </c>
      <c r="H203">
        <f t="shared" ca="1" si="70"/>
        <v>146</v>
      </c>
      <c r="I203">
        <f t="shared" ca="1" si="71"/>
        <v>2013</v>
      </c>
      <c r="J203" s="2">
        <f t="shared" ca="1" si="72"/>
        <v>7888519</v>
      </c>
      <c r="K203" s="4">
        <f t="shared" ca="1" si="73"/>
        <v>7193154</v>
      </c>
      <c r="L203" t="str">
        <f t="shared" ca="1" si="74"/>
        <v>Rachel Villanueva</v>
      </c>
      <c r="M203" t="str">
        <f t="shared" ca="1" si="75"/>
        <v>OFW</v>
      </c>
      <c r="N203" t="str">
        <f t="shared" ca="1" si="76"/>
        <v>Cash</v>
      </c>
      <c r="O203" s="1">
        <f t="shared" ca="1" si="77"/>
        <v>353</v>
      </c>
      <c r="P203" s="2">
        <f t="shared" ca="1" si="78"/>
        <v>215794.62</v>
      </c>
      <c r="Q203" s="2">
        <f t="shared" ca="1" si="79"/>
        <v>-695365</v>
      </c>
      <c r="R203" s="3">
        <f t="shared" ca="1" si="80"/>
        <v>49268.178082191778</v>
      </c>
      <c r="S203">
        <f t="shared" ca="1" si="81"/>
        <v>146</v>
      </c>
      <c r="T203" s="2">
        <f t="shared" ca="1" si="82"/>
        <v>7888519.0881489925</v>
      </c>
      <c r="U203" s="17">
        <f t="shared" si="85"/>
        <v>2019</v>
      </c>
      <c r="V203" s="20" t="str">
        <f t="shared" si="83"/>
        <v>Sep-2019</v>
      </c>
    </row>
    <row r="204" spans="1:22" x14ac:dyDescent="0.3">
      <c r="A204" t="str">
        <f t="shared" si="84"/>
        <v>TX-00204</v>
      </c>
      <c r="B204" s="6">
        <v>45733</v>
      </c>
      <c r="C204" t="str">
        <f t="shared" ca="1" si="67"/>
        <v>House &amp; Lot</v>
      </c>
      <c r="D204" s="1" t="str">
        <f t="shared" ca="1" si="68"/>
        <v>Bulacan</v>
      </c>
      <c r="E204" s="1">
        <f t="shared" ca="1" si="86"/>
        <v>4</v>
      </c>
      <c r="F204" s="1">
        <f t="shared" ca="1" si="86"/>
        <v>2</v>
      </c>
      <c r="G204">
        <f t="shared" ca="1" si="69"/>
        <v>185</v>
      </c>
      <c r="H204">
        <f t="shared" ca="1" si="70"/>
        <v>77</v>
      </c>
      <c r="I204">
        <f t="shared" ca="1" si="71"/>
        <v>2022</v>
      </c>
      <c r="J204" s="2">
        <f t="shared" ca="1" si="72"/>
        <v>9078117</v>
      </c>
      <c r="K204" s="4">
        <f t="shared" ca="1" si="73"/>
        <v>10415018</v>
      </c>
      <c r="L204" t="str">
        <f t="shared" ca="1" si="74"/>
        <v>Michelle Flores</v>
      </c>
      <c r="M204" t="str">
        <f t="shared" ca="1" si="75"/>
        <v>Investor</v>
      </c>
      <c r="N204" t="str">
        <f t="shared" ca="1" si="76"/>
        <v>Cash</v>
      </c>
      <c r="O204" s="1">
        <f t="shared" ca="1" si="77"/>
        <v>392</v>
      </c>
      <c r="P204" s="2">
        <f t="shared" ca="1" si="78"/>
        <v>312450.53999999998</v>
      </c>
      <c r="Q204" s="2">
        <f t="shared" ca="1" si="79"/>
        <v>1336901</v>
      </c>
      <c r="R204" s="3">
        <f t="shared" ca="1" si="80"/>
        <v>135259.97402597402</v>
      </c>
      <c r="S204">
        <f t="shared" ca="1" si="81"/>
        <v>77</v>
      </c>
      <c r="T204" s="2">
        <f t="shared" ca="1" si="82"/>
        <v>9078116.8527336679</v>
      </c>
      <c r="U204" s="17">
        <f t="shared" si="85"/>
        <v>2025</v>
      </c>
      <c r="V204" s="20" t="str">
        <f t="shared" si="83"/>
        <v>Mar-2025</v>
      </c>
    </row>
    <row r="205" spans="1:22" x14ac:dyDescent="0.3">
      <c r="A205" t="str">
        <f t="shared" si="84"/>
        <v>TX-00205</v>
      </c>
      <c r="B205" s="6">
        <v>45718</v>
      </c>
      <c r="C205" t="str">
        <f t="shared" ca="1" si="67"/>
        <v>Commercial</v>
      </c>
      <c r="D205" s="1" t="str">
        <f t="shared" ca="1" si="68"/>
        <v>Laguna</v>
      </c>
      <c r="E205" s="1">
        <f t="shared" ca="1" si="86"/>
        <v>1</v>
      </c>
      <c r="F205" s="1">
        <f t="shared" ca="1" si="86"/>
        <v>2</v>
      </c>
      <c r="G205">
        <f t="shared" ca="1" si="69"/>
        <v>186</v>
      </c>
      <c r="H205">
        <f t="shared" ca="1" si="70"/>
        <v>211</v>
      </c>
      <c r="I205">
        <f t="shared" ca="1" si="71"/>
        <v>2020</v>
      </c>
      <c r="J205" s="2">
        <f t="shared" ca="1" si="72"/>
        <v>12141540</v>
      </c>
      <c r="K205" s="4">
        <f t="shared" ca="1" si="73"/>
        <v>3006895</v>
      </c>
      <c r="L205" t="str">
        <f t="shared" ca="1" si="74"/>
        <v>Anna Mendoza</v>
      </c>
      <c r="M205" t="str">
        <f t="shared" ca="1" si="75"/>
        <v>Corporation</v>
      </c>
      <c r="N205" t="str">
        <f t="shared" ca="1" si="76"/>
        <v>Pag-IBIG Loan</v>
      </c>
      <c r="O205" s="1">
        <f t="shared" ca="1" si="77"/>
        <v>168</v>
      </c>
      <c r="P205" s="2">
        <f t="shared" ca="1" si="78"/>
        <v>90206.849999999991</v>
      </c>
      <c r="Q205" s="2">
        <f t="shared" ca="1" si="79"/>
        <v>-9134645</v>
      </c>
      <c r="R205" s="3">
        <f t="shared" ca="1" si="80"/>
        <v>14250.687203791469</v>
      </c>
      <c r="S205">
        <f t="shared" ca="1" si="81"/>
        <v>211</v>
      </c>
      <c r="T205" s="2">
        <f t="shared" ca="1" si="82"/>
        <v>12141540.75234649</v>
      </c>
      <c r="U205" s="17">
        <f t="shared" si="85"/>
        <v>2025</v>
      </c>
      <c r="V205" s="20" t="str">
        <f t="shared" si="83"/>
        <v>Mar-2025</v>
      </c>
    </row>
    <row r="206" spans="1:22" x14ac:dyDescent="0.3">
      <c r="A206" t="str">
        <f t="shared" si="84"/>
        <v>TX-00206</v>
      </c>
      <c r="B206" s="6">
        <v>45162</v>
      </c>
      <c r="C206" t="str">
        <f t="shared" ca="1" si="67"/>
        <v>Condo</v>
      </c>
      <c r="D206" s="1" t="str">
        <f t="shared" ca="1" si="68"/>
        <v>Laguna</v>
      </c>
      <c r="E206" s="1">
        <f t="shared" ca="1" si="86"/>
        <v>1</v>
      </c>
      <c r="F206" s="1">
        <f t="shared" ca="1" si="86"/>
        <v>4</v>
      </c>
      <c r="G206">
        <f t="shared" ca="1" si="69"/>
        <v>91</v>
      </c>
      <c r="H206">
        <f t="shared" ca="1" si="70"/>
        <v>54</v>
      </c>
      <c r="I206">
        <f t="shared" ca="1" si="71"/>
        <v>2020</v>
      </c>
      <c r="J206" s="2">
        <f t="shared" ca="1" si="72"/>
        <v>2112515</v>
      </c>
      <c r="K206" s="4">
        <f t="shared" ca="1" si="73"/>
        <v>6712665</v>
      </c>
      <c r="L206" t="str">
        <f t="shared" ca="1" si="74"/>
        <v>Rachel Villanueva</v>
      </c>
      <c r="M206" t="str">
        <f t="shared" ca="1" si="75"/>
        <v>Corporation</v>
      </c>
      <c r="N206" t="str">
        <f t="shared" ca="1" si="76"/>
        <v>Pag-IBIG Loan</v>
      </c>
      <c r="O206" s="1">
        <f t="shared" ca="1" si="77"/>
        <v>380</v>
      </c>
      <c r="P206" s="2">
        <f t="shared" ca="1" si="78"/>
        <v>201379.94999999998</v>
      </c>
      <c r="Q206" s="2">
        <f t="shared" ca="1" si="79"/>
        <v>4600150</v>
      </c>
      <c r="R206" s="3">
        <f t="shared" ca="1" si="80"/>
        <v>73765.549450549457</v>
      </c>
      <c r="S206">
        <f t="shared" ca="1" si="81"/>
        <v>91</v>
      </c>
      <c r="T206" s="2">
        <f t="shared" ca="1" si="82"/>
        <v>2112512.822429663</v>
      </c>
      <c r="U206" s="17">
        <f t="shared" si="85"/>
        <v>2023</v>
      </c>
      <c r="V206" s="20" t="str">
        <f t="shared" si="83"/>
        <v>Aug-2023</v>
      </c>
    </row>
    <row r="207" spans="1:22" x14ac:dyDescent="0.3">
      <c r="A207" t="str">
        <f t="shared" si="84"/>
        <v>TX-00207</v>
      </c>
      <c r="B207" s="6">
        <v>45695</v>
      </c>
      <c r="C207" t="str">
        <f t="shared" ca="1" si="67"/>
        <v>Commercial</v>
      </c>
      <c r="D207" s="1" t="str">
        <f t="shared" ca="1" si="68"/>
        <v>Laguna</v>
      </c>
      <c r="E207" s="1">
        <f t="shared" ca="1" si="86"/>
        <v>2</v>
      </c>
      <c r="F207" s="1">
        <f t="shared" ca="1" si="86"/>
        <v>4</v>
      </c>
      <c r="G207">
        <f t="shared" ca="1" si="69"/>
        <v>53</v>
      </c>
      <c r="H207">
        <f t="shared" ca="1" si="70"/>
        <v>249</v>
      </c>
      <c r="I207">
        <f t="shared" ca="1" si="71"/>
        <v>2014</v>
      </c>
      <c r="J207" s="2">
        <f t="shared" ca="1" si="72"/>
        <v>11084278</v>
      </c>
      <c r="K207" s="4">
        <f t="shared" ca="1" si="73"/>
        <v>1534407</v>
      </c>
      <c r="L207" t="str">
        <f t="shared" ca="1" si="74"/>
        <v>Michael Santos</v>
      </c>
      <c r="M207" t="str">
        <f t="shared" ca="1" si="75"/>
        <v>Individual</v>
      </c>
      <c r="N207" t="str">
        <f t="shared" ca="1" si="76"/>
        <v>Installment</v>
      </c>
      <c r="O207" s="1">
        <f t="shared" ca="1" si="77"/>
        <v>350</v>
      </c>
      <c r="P207" s="2">
        <f t="shared" ca="1" si="78"/>
        <v>46032.21</v>
      </c>
      <c r="Q207" s="2">
        <f t="shared" ca="1" si="79"/>
        <v>-9549871</v>
      </c>
      <c r="R207" s="3">
        <f t="shared" ca="1" si="80"/>
        <v>6162.2771084337346</v>
      </c>
      <c r="S207">
        <f t="shared" ca="1" si="81"/>
        <v>249</v>
      </c>
      <c r="T207" s="2">
        <f t="shared" ca="1" si="82"/>
        <v>11084278.861569062</v>
      </c>
      <c r="U207" s="17">
        <f t="shared" si="85"/>
        <v>2025</v>
      </c>
      <c r="V207" s="20" t="str">
        <f t="shared" si="83"/>
        <v>Feb-2025</v>
      </c>
    </row>
    <row r="208" spans="1:22" x14ac:dyDescent="0.3">
      <c r="A208" t="str">
        <f t="shared" si="84"/>
        <v>TX-00208</v>
      </c>
      <c r="B208" s="6">
        <v>44423</v>
      </c>
      <c r="C208" t="str">
        <f t="shared" ca="1" si="67"/>
        <v>Condo</v>
      </c>
      <c r="D208" s="1" t="str">
        <f t="shared" ca="1" si="68"/>
        <v>Bulacan</v>
      </c>
      <c r="E208" s="1">
        <f t="shared" ca="1" si="86"/>
        <v>2</v>
      </c>
      <c r="F208" s="1">
        <f t="shared" ca="1" si="86"/>
        <v>2</v>
      </c>
      <c r="G208">
        <f t="shared" ca="1" si="69"/>
        <v>128</v>
      </c>
      <c r="H208">
        <f t="shared" ca="1" si="70"/>
        <v>152</v>
      </c>
      <c r="I208">
        <f t="shared" ca="1" si="71"/>
        <v>2015</v>
      </c>
      <c r="J208" s="2">
        <f t="shared" ca="1" si="72"/>
        <v>10607627</v>
      </c>
      <c r="K208" s="4">
        <f t="shared" ca="1" si="73"/>
        <v>8785461</v>
      </c>
      <c r="L208" t="str">
        <f t="shared" ca="1" si="74"/>
        <v>Mark Reyes</v>
      </c>
      <c r="M208" t="str">
        <f t="shared" ca="1" si="75"/>
        <v>Corporation</v>
      </c>
      <c r="N208" t="str">
        <f t="shared" ca="1" si="76"/>
        <v>Cash</v>
      </c>
      <c r="O208" s="1">
        <f t="shared" ca="1" si="77"/>
        <v>113</v>
      </c>
      <c r="P208" s="2">
        <f t="shared" ca="1" si="78"/>
        <v>263563.83</v>
      </c>
      <c r="Q208" s="2">
        <f t="shared" ca="1" si="79"/>
        <v>-1822166</v>
      </c>
      <c r="R208" s="3">
        <f t="shared" ca="1" si="80"/>
        <v>68636.4140625</v>
      </c>
      <c r="S208">
        <f t="shared" ca="1" si="81"/>
        <v>128</v>
      </c>
      <c r="T208" s="2">
        <f t="shared" ca="1" si="82"/>
        <v>10607627.171778854</v>
      </c>
      <c r="U208" s="17">
        <f t="shared" si="85"/>
        <v>2021</v>
      </c>
      <c r="V208" s="20" t="str">
        <f t="shared" si="83"/>
        <v>Aug-2021</v>
      </c>
    </row>
    <row r="209" spans="1:22" x14ac:dyDescent="0.3">
      <c r="A209" t="str">
        <f t="shared" si="84"/>
        <v>TX-00209</v>
      </c>
      <c r="B209" s="6">
        <v>43449</v>
      </c>
      <c r="C209" t="str">
        <f t="shared" ca="1" si="67"/>
        <v>Condo</v>
      </c>
      <c r="D209" s="1" t="str">
        <f t="shared" ca="1" si="68"/>
        <v>Cavite</v>
      </c>
      <c r="E209" s="1">
        <f t="shared" ca="1" si="86"/>
        <v>4</v>
      </c>
      <c r="F209" s="1">
        <f t="shared" ca="1" si="86"/>
        <v>1</v>
      </c>
      <c r="G209">
        <f t="shared" ca="1" si="69"/>
        <v>83</v>
      </c>
      <c r="H209">
        <f t="shared" ca="1" si="70"/>
        <v>100</v>
      </c>
      <c r="I209">
        <f t="shared" ca="1" si="71"/>
        <v>2012</v>
      </c>
      <c r="J209" s="2">
        <f t="shared" ca="1" si="72"/>
        <v>5716146</v>
      </c>
      <c r="K209" s="4">
        <f t="shared" ca="1" si="73"/>
        <v>8034626</v>
      </c>
      <c r="L209" t="str">
        <f t="shared" ca="1" si="74"/>
        <v>Rachel Villanueva</v>
      </c>
      <c r="M209" t="str">
        <f t="shared" ca="1" si="75"/>
        <v>Individual</v>
      </c>
      <c r="N209" t="str">
        <f t="shared" ca="1" si="76"/>
        <v>Installment</v>
      </c>
      <c r="O209" s="1">
        <f t="shared" ca="1" si="77"/>
        <v>188</v>
      </c>
      <c r="P209" s="2">
        <f t="shared" ca="1" si="78"/>
        <v>241038.78</v>
      </c>
      <c r="Q209" s="2">
        <f t="shared" ca="1" si="79"/>
        <v>2318480</v>
      </c>
      <c r="R209" s="3">
        <f t="shared" ca="1" si="80"/>
        <v>96802.722891566271</v>
      </c>
      <c r="S209">
        <f t="shared" ca="1" si="81"/>
        <v>83</v>
      </c>
      <c r="T209" s="2">
        <f t="shared" ca="1" si="82"/>
        <v>5716145.594398044</v>
      </c>
      <c r="U209" s="17">
        <f t="shared" si="85"/>
        <v>2018</v>
      </c>
      <c r="V209" s="20" t="str">
        <f t="shared" si="83"/>
        <v>Dec-2018</v>
      </c>
    </row>
    <row r="210" spans="1:22" x14ac:dyDescent="0.3">
      <c r="A210" t="str">
        <f t="shared" si="84"/>
        <v>TX-00210</v>
      </c>
      <c r="B210" s="6">
        <v>43518</v>
      </c>
      <c r="C210" t="str">
        <f t="shared" ca="1" si="67"/>
        <v>Condo</v>
      </c>
      <c r="D210" s="1" t="str">
        <f t="shared" ca="1" si="68"/>
        <v>Makati</v>
      </c>
      <c r="E210" s="1">
        <f t="shared" ca="1" si="86"/>
        <v>1</v>
      </c>
      <c r="F210" s="1">
        <f t="shared" ca="1" si="86"/>
        <v>2</v>
      </c>
      <c r="G210">
        <f t="shared" ca="1" si="69"/>
        <v>47</v>
      </c>
      <c r="H210">
        <f t="shared" ca="1" si="70"/>
        <v>151</v>
      </c>
      <c r="I210">
        <f t="shared" ca="1" si="71"/>
        <v>2015</v>
      </c>
      <c r="J210" s="2">
        <f t="shared" ca="1" si="72"/>
        <v>8760601</v>
      </c>
      <c r="K210" s="4">
        <f t="shared" ca="1" si="73"/>
        <v>5725798</v>
      </c>
      <c r="L210" t="str">
        <f t="shared" ca="1" si="74"/>
        <v>John Dela Cruz</v>
      </c>
      <c r="M210" t="str">
        <f t="shared" ca="1" si="75"/>
        <v>Individual</v>
      </c>
      <c r="N210" t="str">
        <f t="shared" ca="1" si="76"/>
        <v>Cash</v>
      </c>
      <c r="O210" s="1">
        <f t="shared" ca="1" si="77"/>
        <v>279</v>
      </c>
      <c r="P210" s="2">
        <f t="shared" ca="1" si="78"/>
        <v>171773.94</v>
      </c>
      <c r="Q210" s="2">
        <f t="shared" ca="1" si="79"/>
        <v>-3034803</v>
      </c>
      <c r="R210" s="3">
        <f t="shared" ca="1" si="80"/>
        <v>121825.48936170213</v>
      </c>
      <c r="S210">
        <f t="shared" ca="1" si="81"/>
        <v>47</v>
      </c>
      <c r="T210" s="2">
        <f t="shared" ca="1" si="82"/>
        <v>8760601.3464149311</v>
      </c>
      <c r="U210" s="17">
        <f t="shared" si="85"/>
        <v>2019</v>
      </c>
      <c r="V210" s="20" t="str">
        <f t="shared" si="83"/>
        <v>Feb-2019</v>
      </c>
    </row>
    <row r="211" spans="1:22" x14ac:dyDescent="0.3">
      <c r="A211" t="str">
        <f t="shared" si="84"/>
        <v>TX-00211</v>
      </c>
      <c r="B211" s="6">
        <v>43143</v>
      </c>
      <c r="C211" t="str">
        <f t="shared" ca="1" si="67"/>
        <v>Condo</v>
      </c>
      <c r="D211" s="1" t="str">
        <f t="shared" ca="1" si="68"/>
        <v>Cavite</v>
      </c>
      <c r="E211" s="1">
        <f t="shared" ca="1" si="86"/>
        <v>1</v>
      </c>
      <c r="F211" s="1">
        <f t="shared" ca="1" si="86"/>
        <v>1</v>
      </c>
      <c r="G211">
        <f t="shared" ca="1" si="69"/>
        <v>133</v>
      </c>
      <c r="H211">
        <f t="shared" ca="1" si="70"/>
        <v>233</v>
      </c>
      <c r="I211">
        <f t="shared" ca="1" si="71"/>
        <v>2019</v>
      </c>
      <c r="J211" s="2">
        <f t="shared" ca="1" si="72"/>
        <v>10232552</v>
      </c>
      <c r="K211" s="4">
        <f t="shared" ca="1" si="73"/>
        <v>2006634</v>
      </c>
      <c r="L211" t="str">
        <f t="shared" ca="1" si="74"/>
        <v>Daniel Cruz</v>
      </c>
      <c r="M211" t="str">
        <f t="shared" ca="1" si="75"/>
        <v>Investor</v>
      </c>
      <c r="N211" t="str">
        <f t="shared" ca="1" si="76"/>
        <v>Installment</v>
      </c>
      <c r="O211" s="1">
        <f t="shared" ca="1" si="77"/>
        <v>152</v>
      </c>
      <c r="P211" s="2">
        <f t="shared" ca="1" si="78"/>
        <v>60199.02</v>
      </c>
      <c r="Q211" s="2">
        <f t="shared" ca="1" si="79"/>
        <v>-8225918</v>
      </c>
      <c r="R211" s="3">
        <f t="shared" ca="1" si="80"/>
        <v>15087.473684210527</v>
      </c>
      <c r="S211">
        <f t="shared" ca="1" si="81"/>
        <v>133</v>
      </c>
      <c r="T211" s="2">
        <f t="shared" ca="1" si="82"/>
        <v>10232552.803897014</v>
      </c>
      <c r="U211" s="17">
        <f t="shared" si="85"/>
        <v>2018</v>
      </c>
      <c r="V211" s="20" t="str">
        <f t="shared" si="83"/>
        <v>Feb-2018</v>
      </c>
    </row>
    <row r="212" spans="1:22" x14ac:dyDescent="0.3">
      <c r="A212" t="str">
        <f t="shared" si="84"/>
        <v>TX-00212</v>
      </c>
      <c r="B212" s="6">
        <v>45054</v>
      </c>
      <c r="C212" t="str">
        <f t="shared" ca="1" si="67"/>
        <v>Condo</v>
      </c>
      <c r="D212" s="1" t="str">
        <f t="shared" ca="1" si="68"/>
        <v>Laguna</v>
      </c>
      <c r="E212" s="1">
        <f t="shared" ca="1" si="86"/>
        <v>3</v>
      </c>
      <c r="F212" s="1">
        <f t="shared" ca="1" si="86"/>
        <v>1</v>
      </c>
      <c r="G212">
        <f t="shared" ca="1" si="69"/>
        <v>153</v>
      </c>
      <c r="H212">
        <f t="shared" ca="1" si="70"/>
        <v>111</v>
      </c>
      <c r="I212">
        <f t="shared" ca="1" si="71"/>
        <v>2016</v>
      </c>
      <c r="J212" s="2">
        <f t="shared" ca="1" si="72"/>
        <v>2438589</v>
      </c>
      <c r="K212" s="4">
        <f t="shared" ca="1" si="73"/>
        <v>9932345</v>
      </c>
      <c r="L212" t="str">
        <f t="shared" ca="1" si="74"/>
        <v>Michael Santos</v>
      </c>
      <c r="M212" t="str">
        <f t="shared" ca="1" si="75"/>
        <v>Investor</v>
      </c>
      <c r="N212" t="str">
        <f t="shared" ca="1" si="76"/>
        <v>Cash</v>
      </c>
      <c r="O212" s="1">
        <f t="shared" ca="1" si="77"/>
        <v>276</v>
      </c>
      <c r="P212" s="2">
        <f t="shared" ca="1" si="78"/>
        <v>297970.34999999998</v>
      </c>
      <c r="Q212" s="2">
        <f t="shared" ca="1" si="79"/>
        <v>7493756</v>
      </c>
      <c r="R212" s="3">
        <f t="shared" ca="1" si="80"/>
        <v>64917.287581699347</v>
      </c>
      <c r="S212">
        <f t="shared" ca="1" si="81"/>
        <v>153</v>
      </c>
      <c r="T212" s="2">
        <f t="shared" ca="1" si="82"/>
        <v>2438585.927011481</v>
      </c>
      <c r="U212" s="17">
        <f t="shared" si="85"/>
        <v>2023</v>
      </c>
      <c r="V212" s="20" t="str">
        <f t="shared" si="83"/>
        <v>May-2023</v>
      </c>
    </row>
    <row r="213" spans="1:22" x14ac:dyDescent="0.3">
      <c r="A213" t="str">
        <f t="shared" si="84"/>
        <v>TX-00213</v>
      </c>
      <c r="B213" s="6">
        <v>45709</v>
      </c>
      <c r="C213" t="str">
        <f t="shared" ca="1" si="67"/>
        <v>Land</v>
      </c>
      <c r="D213" s="1" t="str">
        <f t="shared" ca="1" si="68"/>
        <v>Laguna</v>
      </c>
      <c r="E213" s="1">
        <f t="shared" ca="1" si="86"/>
        <v>4</v>
      </c>
      <c r="F213" s="1">
        <f t="shared" ca="1" si="86"/>
        <v>3</v>
      </c>
      <c r="G213">
        <f t="shared" ca="1" si="69"/>
        <v>45</v>
      </c>
      <c r="H213">
        <f t="shared" ca="1" si="70"/>
        <v>196</v>
      </c>
      <c r="I213">
        <f t="shared" ca="1" si="71"/>
        <v>2015</v>
      </c>
      <c r="J213" s="2">
        <f t="shared" ca="1" si="72"/>
        <v>6394614</v>
      </c>
      <c r="K213" s="4">
        <f t="shared" ca="1" si="73"/>
        <v>6290223</v>
      </c>
      <c r="L213" t="str">
        <f t="shared" ca="1" si="74"/>
        <v>Michelle Flores</v>
      </c>
      <c r="M213" t="str">
        <f t="shared" ca="1" si="75"/>
        <v>Individual</v>
      </c>
      <c r="N213" t="str">
        <f t="shared" ca="1" si="76"/>
        <v>Bank Loan</v>
      </c>
      <c r="O213" s="1">
        <f t="shared" ca="1" si="77"/>
        <v>223</v>
      </c>
      <c r="P213" s="2">
        <f t="shared" ca="1" si="78"/>
        <v>188706.69</v>
      </c>
      <c r="Q213" s="2">
        <f t="shared" ca="1" si="79"/>
        <v>-104391</v>
      </c>
      <c r="R213" s="3">
        <f t="shared" ca="1" si="80"/>
        <v>32092.974489795917</v>
      </c>
      <c r="S213">
        <f t="shared" ca="1" si="81"/>
        <v>196</v>
      </c>
      <c r="T213" s="2">
        <f t="shared" ca="1" si="82"/>
        <v>6394614.0163248321</v>
      </c>
      <c r="U213" s="17">
        <f t="shared" si="85"/>
        <v>2025</v>
      </c>
      <c r="V213" s="20" t="str">
        <f t="shared" si="83"/>
        <v>Feb-2025</v>
      </c>
    </row>
    <row r="214" spans="1:22" x14ac:dyDescent="0.3">
      <c r="A214" t="str">
        <f t="shared" si="84"/>
        <v>TX-00214</v>
      </c>
      <c r="B214" s="6">
        <v>45850</v>
      </c>
      <c r="C214" t="str">
        <f t="shared" ca="1" si="67"/>
        <v>House &amp; Lot</v>
      </c>
      <c r="D214" s="1" t="str">
        <f t="shared" ca="1" si="68"/>
        <v>Cavite</v>
      </c>
      <c r="E214" s="1">
        <f t="shared" ca="1" si="86"/>
        <v>2</v>
      </c>
      <c r="F214" s="1">
        <f t="shared" ca="1" si="86"/>
        <v>2</v>
      </c>
      <c r="G214">
        <f t="shared" ca="1" si="69"/>
        <v>183</v>
      </c>
      <c r="H214">
        <f t="shared" ca="1" si="70"/>
        <v>82</v>
      </c>
      <c r="I214">
        <f t="shared" ca="1" si="71"/>
        <v>2019</v>
      </c>
      <c r="J214" s="2">
        <f t="shared" ca="1" si="72"/>
        <v>12785842</v>
      </c>
      <c r="K214" s="4">
        <f t="shared" ca="1" si="73"/>
        <v>1523664</v>
      </c>
      <c r="L214" t="str">
        <f t="shared" ca="1" si="74"/>
        <v>Mark Reyes</v>
      </c>
      <c r="M214" t="str">
        <f t="shared" ca="1" si="75"/>
        <v>OFW</v>
      </c>
      <c r="N214" t="str">
        <f t="shared" ca="1" si="76"/>
        <v>Installment</v>
      </c>
      <c r="O214" s="1">
        <f t="shared" ca="1" si="77"/>
        <v>303</v>
      </c>
      <c r="P214" s="2">
        <f t="shared" ca="1" si="78"/>
        <v>45709.919999999998</v>
      </c>
      <c r="Q214" s="2">
        <f t="shared" ca="1" si="79"/>
        <v>-11262178</v>
      </c>
      <c r="R214" s="3">
        <f t="shared" ca="1" si="80"/>
        <v>18581.268292682926</v>
      </c>
      <c r="S214">
        <f t="shared" ca="1" si="81"/>
        <v>82</v>
      </c>
      <c r="T214" s="2">
        <f t="shared" ca="1" si="82"/>
        <v>12785842.880831938</v>
      </c>
      <c r="U214" s="17">
        <f t="shared" si="85"/>
        <v>2025</v>
      </c>
      <c r="V214" s="20" t="str">
        <f t="shared" si="83"/>
        <v>Jul-2025</v>
      </c>
    </row>
    <row r="215" spans="1:22" x14ac:dyDescent="0.3">
      <c r="A215" t="str">
        <f t="shared" si="84"/>
        <v>TX-00215</v>
      </c>
      <c r="B215" s="6">
        <v>43407</v>
      </c>
      <c r="C215" t="str">
        <f t="shared" ca="1" si="67"/>
        <v>House &amp; Lot</v>
      </c>
      <c r="D215" s="1" t="str">
        <f t="shared" ca="1" si="68"/>
        <v>Bulacan</v>
      </c>
      <c r="E215" s="1">
        <f t="shared" ca="1" si="86"/>
        <v>3</v>
      </c>
      <c r="F215" s="1">
        <f t="shared" ca="1" si="86"/>
        <v>4</v>
      </c>
      <c r="G215">
        <f t="shared" ca="1" si="69"/>
        <v>106</v>
      </c>
      <c r="H215">
        <f t="shared" ca="1" si="70"/>
        <v>84</v>
      </c>
      <c r="I215">
        <f t="shared" ca="1" si="71"/>
        <v>2016</v>
      </c>
      <c r="J215" s="2">
        <f t="shared" ca="1" si="72"/>
        <v>14412143</v>
      </c>
      <c r="K215" s="4">
        <f t="shared" ca="1" si="73"/>
        <v>4813168</v>
      </c>
      <c r="L215" t="str">
        <f t="shared" ca="1" si="74"/>
        <v>John Dela Cruz</v>
      </c>
      <c r="M215" t="str">
        <f t="shared" ca="1" si="75"/>
        <v>OFW</v>
      </c>
      <c r="N215" t="str">
        <f t="shared" ca="1" si="76"/>
        <v>Bank Loan</v>
      </c>
      <c r="O215" s="1">
        <f t="shared" ca="1" si="77"/>
        <v>289</v>
      </c>
      <c r="P215" s="2">
        <f t="shared" ca="1" si="78"/>
        <v>144395.04</v>
      </c>
      <c r="Q215" s="2">
        <f t="shared" ca="1" si="79"/>
        <v>-9598975</v>
      </c>
      <c r="R215" s="3">
        <f t="shared" ca="1" si="80"/>
        <v>57299.619047619046</v>
      </c>
      <c r="S215">
        <f t="shared" ca="1" si="81"/>
        <v>84</v>
      </c>
      <c r="T215" s="2">
        <f t="shared" ca="1" si="82"/>
        <v>14412143.666033844</v>
      </c>
      <c r="U215" s="17">
        <f t="shared" si="85"/>
        <v>2018</v>
      </c>
      <c r="V215" s="20" t="str">
        <f t="shared" si="83"/>
        <v>Nov-2018</v>
      </c>
    </row>
    <row r="216" spans="1:22" x14ac:dyDescent="0.3">
      <c r="A216" t="str">
        <f t="shared" si="84"/>
        <v>TX-00216</v>
      </c>
      <c r="B216" s="6">
        <v>45977</v>
      </c>
      <c r="C216" t="str">
        <f t="shared" ca="1" si="67"/>
        <v>Commercial</v>
      </c>
      <c r="D216" s="1" t="str">
        <f t="shared" ca="1" si="68"/>
        <v>Makati</v>
      </c>
      <c r="E216" s="1">
        <f t="shared" ca="1" si="86"/>
        <v>3</v>
      </c>
      <c r="F216" s="1">
        <f t="shared" ca="1" si="86"/>
        <v>2</v>
      </c>
      <c r="G216">
        <f t="shared" ca="1" si="69"/>
        <v>57</v>
      </c>
      <c r="H216">
        <f t="shared" ca="1" si="70"/>
        <v>211</v>
      </c>
      <c r="I216">
        <f t="shared" ca="1" si="71"/>
        <v>2017</v>
      </c>
      <c r="J216" s="2">
        <f t="shared" ca="1" si="72"/>
        <v>8012248</v>
      </c>
      <c r="K216" s="4">
        <f t="shared" ca="1" si="73"/>
        <v>8090032</v>
      </c>
      <c r="L216" t="str">
        <f t="shared" ca="1" si="74"/>
        <v>Anna Mendoza</v>
      </c>
      <c r="M216" t="str">
        <f t="shared" ca="1" si="75"/>
        <v>OFW</v>
      </c>
      <c r="N216" t="str">
        <f t="shared" ca="1" si="76"/>
        <v>Installment</v>
      </c>
      <c r="O216" s="1">
        <f t="shared" ca="1" si="77"/>
        <v>153</v>
      </c>
      <c r="P216" s="2">
        <f t="shared" ca="1" si="78"/>
        <v>242700.96</v>
      </c>
      <c r="Q216" s="2">
        <f t="shared" ca="1" si="79"/>
        <v>77784</v>
      </c>
      <c r="R216" s="3">
        <f t="shared" ca="1" si="80"/>
        <v>38341.383886255928</v>
      </c>
      <c r="S216">
        <f t="shared" ca="1" si="81"/>
        <v>211</v>
      </c>
      <c r="T216" s="2">
        <f t="shared" ca="1" si="82"/>
        <v>8012247.9902918627</v>
      </c>
      <c r="U216" s="17">
        <f t="shared" si="85"/>
        <v>2025</v>
      </c>
      <c r="V216" s="20" t="str">
        <f t="shared" si="83"/>
        <v>Nov-2025</v>
      </c>
    </row>
    <row r="217" spans="1:22" x14ac:dyDescent="0.3">
      <c r="A217" t="str">
        <f t="shared" si="84"/>
        <v>TX-00217</v>
      </c>
      <c r="B217" s="6">
        <v>46074</v>
      </c>
      <c r="C217" t="str">
        <f t="shared" ca="1" si="67"/>
        <v>Condo</v>
      </c>
      <c r="D217" s="1" t="str">
        <f t="shared" ca="1" si="68"/>
        <v>Bulacan</v>
      </c>
      <c r="E217" s="1">
        <f t="shared" ca="1" si="86"/>
        <v>2</v>
      </c>
      <c r="F217" s="1">
        <f t="shared" ca="1" si="86"/>
        <v>4</v>
      </c>
      <c r="G217">
        <f t="shared" ca="1" si="69"/>
        <v>40</v>
      </c>
      <c r="H217">
        <f t="shared" ca="1" si="70"/>
        <v>231</v>
      </c>
      <c r="I217">
        <f t="shared" ca="1" si="71"/>
        <v>2016</v>
      </c>
      <c r="J217" s="2">
        <f t="shared" ca="1" si="72"/>
        <v>12718401</v>
      </c>
      <c r="K217" s="4">
        <f t="shared" ca="1" si="73"/>
        <v>3661735</v>
      </c>
      <c r="L217" t="str">
        <f t="shared" ca="1" si="74"/>
        <v>Michelle Flores</v>
      </c>
      <c r="M217" t="str">
        <f t="shared" ca="1" si="75"/>
        <v>Corporation</v>
      </c>
      <c r="N217" t="str">
        <f t="shared" ca="1" si="76"/>
        <v>Pag-IBIG Loan</v>
      </c>
      <c r="O217" s="1">
        <f t="shared" ca="1" si="77"/>
        <v>347</v>
      </c>
      <c r="P217" s="2">
        <f t="shared" ca="1" si="78"/>
        <v>109852.05</v>
      </c>
      <c r="Q217" s="2">
        <f t="shared" ca="1" si="79"/>
        <v>-9056666</v>
      </c>
      <c r="R217" s="3">
        <f t="shared" ca="1" si="80"/>
        <v>91543.375</v>
      </c>
      <c r="S217">
        <f t="shared" ca="1" si="81"/>
        <v>40</v>
      </c>
      <c r="T217" s="2">
        <f t="shared" ca="1" si="82"/>
        <v>12718401.71209156</v>
      </c>
      <c r="U217" s="17">
        <f t="shared" si="85"/>
        <v>2026</v>
      </c>
      <c r="V217" s="20" t="str">
        <f t="shared" si="83"/>
        <v>Feb-2026</v>
      </c>
    </row>
    <row r="218" spans="1:22" x14ac:dyDescent="0.3">
      <c r="A218" t="str">
        <f t="shared" si="84"/>
        <v>TX-00218</v>
      </c>
      <c r="B218" s="6">
        <v>43343</v>
      </c>
      <c r="C218" t="str">
        <f t="shared" ca="1" si="67"/>
        <v>Condo</v>
      </c>
      <c r="D218" s="1" t="str">
        <f t="shared" ca="1" si="68"/>
        <v>Bulacan</v>
      </c>
      <c r="E218" s="1">
        <f t="shared" ca="1" si="86"/>
        <v>3</v>
      </c>
      <c r="F218" s="1">
        <f t="shared" ca="1" si="86"/>
        <v>2</v>
      </c>
      <c r="G218">
        <f t="shared" ca="1" si="69"/>
        <v>74</v>
      </c>
      <c r="H218">
        <f t="shared" ca="1" si="70"/>
        <v>83</v>
      </c>
      <c r="I218">
        <f t="shared" ca="1" si="71"/>
        <v>2011</v>
      </c>
      <c r="J218" s="2">
        <f t="shared" ca="1" si="72"/>
        <v>10793265</v>
      </c>
      <c r="K218" s="4">
        <f t="shared" ca="1" si="73"/>
        <v>12793812</v>
      </c>
      <c r="L218" t="str">
        <f t="shared" ca="1" si="74"/>
        <v>Mary Garcia</v>
      </c>
      <c r="M218" t="str">
        <f t="shared" ca="1" si="75"/>
        <v>OFW</v>
      </c>
      <c r="N218" t="str">
        <f t="shared" ca="1" si="76"/>
        <v>Cash</v>
      </c>
      <c r="O218" s="1">
        <f t="shared" ca="1" si="77"/>
        <v>191</v>
      </c>
      <c r="P218" s="2">
        <f t="shared" ca="1" si="78"/>
        <v>383814.36</v>
      </c>
      <c r="Q218" s="2">
        <f t="shared" ca="1" si="79"/>
        <v>2000547</v>
      </c>
      <c r="R218" s="3">
        <f t="shared" ca="1" si="80"/>
        <v>172889.35135135136</v>
      </c>
      <c r="S218">
        <f t="shared" ca="1" si="81"/>
        <v>74</v>
      </c>
      <c r="T218" s="2">
        <f t="shared" ca="1" si="82"/>
        <v>10793264.81464858</v>
      </c>
      <c r="U218" s="17">
        <f t="shared" si="85"/>
        <v>2018</v>
      </c>
      <c r="V218" s="20" t="str">
        <f t="shared" si="83"/>
        <v>Aug-2018</v>
      </c>
    </row>
    <row r="219" spans="1:22" x14ac:dyDescent="0.3">
      <c r="A219" t="str">
        <f t="shared" si="84"/>
        <v>TX-00219</v>
      </c>
      <c r="B219" s="6">
        <v>44707</v>
      </c>
      <c r="C219" t="str">
        <f t="shared" ca="1" si="67"/>
        <v>House &amp; Lot</v>
      </c>
      <c r="D219" s="1" t="str">
        <f t="shared" ca="1" si="68"/>
        <v>Cavite</v>
      </c>
      <c r="E219" s="1">
        <f t="shared" ca="1" si="86"/>
        <v>4</v>
      </c>
      <c r="F219" s="1">
        <f t="shared" ca="1" si="86"/>
        <v>3</v>
      </c>
      <c r="G219">
        <f t="shared" ca="1" si="69"/>
        <v>123</v>
      </c>
      <c r="H219">
        <f t="shared" ca="1" si="70"/>
        <v>115</v>
      </c>
      <c r="I219">
        <f t="shared" ca="1" si="71"/>
        <v>2022</v>
      </c>
      <c r="J219" s="2">
        <f t="shared" ca="1" si="72"/>
        <v>4620116</v>
      </c>
      <c r="K219" s="4">
        <f t="shared" ca="1" si="73"/>
        <v>6263332</v>
      </c>
      <c r="L219" t="str">
        <f t="shared" ca="1" si="74"/>
        <v>John Dela Cruz</v>
      </c>
      <c r="M219" t="str">
        <f t="shared" ca="1" si="75"/>
        <v>Corporation</v>
      </c>
      <c r="N219" t="str">
        <f t="shared" ca="1" si="76"/>
        <v>Bank Loan</v>
      </c>
      <c r="O219" s="1">
        <f t="shared" ca="1" si="77"/>
        <v>315</v>
      </c>
      <c r="P219" s="2">
        <f t="shared" ca="1" si="78"/>
        <v>187899.96</v>
      </c>
      <c r="Q219" s="2">
        <f t="shared" ca="1" si="79"/>
        <v>1643216</v>
      </c>
      <c r="R219" s="3">
        <f t="shared" ca="1" si="80"/>
        <v>54463.756521739131</v>
      </c>
      <c r="S219">
        <f t="shared" ca="1" si="81"/>
        <v>115</v>
      </c>
      <c r="T219" s="2">
        <f t="shared" ca="1" si="82"/>
        <v>4620115.6443344709</v>
      </c>
      <c r="U219" s="17">
        <f t="shared" si="85"/>
        <v>2022</v>
      </c>
      <c r="V219" s="20" t="str">
        <f t="shared" si="83"/>
        <v>May-2022</v>
      </c>
    </row>
    <row r="220" spans="1:22" x14ac:dyDescent="0.3">
      <c r="A220" t="str">
        <f t="shared" si="84"/>
        <v>TX-00220</v>
      </c>
      <c r="B220" s="6">
        <v>43743</v>
      </c>
      <c r="C220" t="str">
        <f t="shared" ca="1" si="67"/>
        <v>Land</v>
      </c>
      <c r="D220" s="1" t="str">
        <f t="shared" ca="1" si="68"/>
        <v>Cavite</v>
      </c>
      <c r="E220" s="1">
        <f t="shared" ca="1" si="86"/>
        <v>4</v>
      </c>
      <c r="F220" s="1">
        <f t="shared" ca="1" si="86"/>
        <v>2</v>
      </c>
      <c r="G220">
        <f t="shared" ca="1" si="69"/>
        <v>90</v>
      </c>
      <c r="H220">
        <f t="shared" ca="1" si="70"/>
        <v>67</v>
      </c>
      <c r="I220">
        <f t="shared" ca="1" si="71"/>
        <v>2018</v>
      </c>
      <c r="J220" s="2">
        <f t="shared" ca="1" si="72"/>
        <v>6395587</v>
      </c>
      <c r="K220" s="4">
        <f t="shared" ca="1" si="73"/>
        <v>5628982</v>
      </c>
      <c r="L220" t="str">
        <f t="shared" ca="1" si="74"/>
        <v>Michael Santos</v>
      </c>
      <c r="M220" t="str">
        <f t="shared" ca="1" si="75"/>
        <v>Corporation</v>
      </c>
      <c r="N220" t="str">
        <f t="shared" ca="1" si="76"/>
        <v>Bank Loan</v>
      </c>
      <c r="O220" s="1">
        <f t="shared" ca="1" si="77"/>
        <v>225</v>
      </c>
      <c r="P220" s="2">
        <f t="shared" ca="1" si="78"/>
        <v>168869.46</v>
      </c>
      <c r="Q220" s="2">
        <f t="shared" ca="1" si="79"/>
        <v>-766605</v>
      </c>
      <c r="R220" s="3">
        <f t="shared" ca="1" si="80"/>
        <v>84014.656716417914</v>
      </c>
      <c r="S220">
        <f t="shared" ca="1" si="81"/>
        <v>67</v>
      </c>
      <c r="T220" s="2">
        <f t="shared" ca="1" si="82"/>
        <v>6395587.1198646817</v>
      </c>
      <c r="U220" s="17">
        <f t="shared" si="85"/>
        <v>2019</v>
      </c>
      <c r="V220" s="20" t="str">
        <f t="shared" si="83"/>
        <v>Oct-2019</v>
      </c>
    </row>
    <row r="221" spans="1:22" x14ac:dyDescent="0.3">
      <c r="A221" t="str">
        <f t="shared" si="84"/>
        <v>TX-00221</v>
      </c>
      <c r="B221" s="6">
        <v>45586</v>
      </c>
      <c r="C221" t="str">
        <f t="shared" ca="1" si="67"/>
        <v>House &amp; Lot</v>
      </c>
      <c r="D221" s="1" t="str">
        <f t="shared" ca="1" si="68"/>
        <v>Cavite</v>
      </c>
      <c r="E221" s="1">
        <f t="shared" ca="1" si="86"/>
        <v>2</v>
      </c>
      <c r="F221" s="1">
        <f t="shared" ca="1" si="86"/>
        <v>1</v>
      </c>
      <c r="G221">
        <f t="shared" ca="1" si="69"/>
        <v>142</v>
      </c>
      <c r="H221">
        <f t="shared" ca="1" si="70"/>
        <v>192</v>
      </c>
      <c r="I221">
        <f t="shared" ca="1" si="71"/>
        <v>2011</v>
      </c>
      <c r="J221" s="2">
        <f t="shared" ca="1" si="72"/>
        <v>10288071</v>
      </c>
      <c r="K221" s="4">
        <f t="shared" ca="1" si="73"/>
        <v>7819090</v>
      </c>
      <c r="L221" t="str">
        <f t="shared" ca="1" si="74"/>
        <v>Michelle Flores</v>
      </c>
      <c r="M221" t="str">
        <f t="shared" ca="1" si="75"/>
        <v>OFW</v>
      </c>
      <c r="N221" t="str">
        <f t="shared" ca="1" si="76"/>
        <v>Pag-IBIG Loan</v>
      </c>
      <c r="O221" s="1">
        <f t="shared" ca="1" si="77"/>
        <v>150</v>
      </c>
      <c r="P221" s="2">
        <f t="shared" ca="1" si="78"/>
        <v>234572.69999999998</v>
      </c>
      <c r="Q221" s="2">
        <f t="shared" ca="1" si="79"/>
        <v>-2468981</v>
      </c>
      <c r="R221" s="3">
        <f t="shared" ca="1" si="80"/>
        <v>40724.427083333336</v>
      </c>
      <c r="S221">
        <f t="shared" ca="1" si="81"/>
        <v>192</v>
      </c>
      <c r="T221" s="2">
        <f t="shared" ca="1" si="82"/>
        <v>10288071.239984833</v>
      </c>
      <c r="U221" s="17">
        <f t="shared" si="85"/>
        <v>2024</v>
      </c>
      <c r="V221" s="20" t="str">
        <f t="shared" si="83"/>
        <v>Oct-2024</v>
      </c>
    </row>
    <row r="222" spans="1:22" x14ac:dyDescent="0.3">
      <c r="A222" t="str">
        <f t="shared" si="84"/>
        <v>TX-00222</v>
      </c>
      <c r="B222" s="6">
        <v>45706</v>
      </c>
      <c r="C222" t="str">
        <f t="shared" ca="1" si="67"/>
        <v>Land</v>
      </c>
      <c r="D222" s="1" t="str">
        <f t="shared" ca="1" si="68"/>
        <v>Bulacan</v>
      </c>
      <c r="E222" s="1">
        <f t="shared" ref="E222:F241" ca="1" si="87">RANDBETWEEN(1,4)</f>
        <v>2</v>
      </c>
      <c r="F222" s="1">
        <f t="shared" ca="1" si="87"/>
        <v>4</v>
      </c>
      <c r="G222">
        <f t="shared" ca="1" si="69"/>
        <v>67</v>
      </c>
      <c r="H222">
        <f t="shared" ca="1" si="70"/>
        <v>147</v>
      </c>
      <c r="I222">
        <f t="shared" ca="1" si="71"/>
        <v>2020</v>
      </c>
      <c r="J222" s="2">
        <f t="shared" ca="1" si="72"/>
        <v>11058073</v>
      </c>
      <c r="K222" s="4">
        <f t="shared" ca="1" si="73"/>
        <v>3417821</v>
      </c>
      <c r="L222" t="str">
        <f t="shared" ca="1" si="74"/>
        <v>Mark Reyes</v>
      </c>
      <c r="M222" t="str">
        <f t="shared" ca="1" si="75"/>
        <v>Investor</v>
      </c>
      <c r="N222" t="str">
        <f t="shared" ca="1" si="76"/>
        <v>Pag-IBIG Loan</v>
      </c>
      <c r="O222" s="1">
        <f t="shared" ca="1" si="77"/>
        <v>196</v>
      </c>
      <c r="P222" s="2">
        <f t="shared" ca="1" si="78"/>
        <v>102534.62999999999</v>
      </c>
      <c r="Q222" s="2">
        <f t="shared" ca="1" si="79"/>
        <v>-7640252</v>
      </c>
      <c r="R222" s="3">
        <f t="shared" ca="1" si="80"/>
        <v>23250.482993197278</v>
      </c>
      <c r="S222">
        <f t="shared" ca="1" si="81"/>
        <v>147</v>
      </c>
      <c r="T222" s="2">
        <f t="shared" ca="1" si="82"/>
        <v>11058073.690920742</v>
      </c>
      <c r="U222" s="17">
        <f t="shared" si="85"/>
        <v>2025</v>
      </c>
      <c r="V222" s="20" t="str">
        <f t="shared" si="83"/>
        <v>Feb-2025</v>
      </c>
    </row>
    <row r="223" spans="1:22" x14ac:dyDescent="0.3">
      <c r="A223" t="str">
        <f t="shared" si="84"/>
        <v>TX-00223</v>
      </c>
      <c r="B223" s="6">
        <v>45011</v>
      </c>
      <c r="C223" t="str">
        <f t="shared" ca="1" si="67"/>
        <v>Condo</v>
      </c>
      <c r="D223" s="1" t="str">
        <f t="shared" ca="1" si="68"/>
        <v>Makati</v>
      </c>
      <c r="E223" s="1">
        <f t="shared" ca="1" si="87"/>
        <v>1</v>
      </c>
      <c r="F223" s="1">
        <f t="shared" ca="1" si="87"/>
        <v>3</v>
      </c>
      <c r="G223">
        <f t="shared" ca="1" si="69"/>
        <v>87</v>
      </c>
      <c r="H223">
        <f t="shared" ca="1" si="70"/>
        <v>205</v>
      </c>
      <c r="I223">
        <f t="shared" ca="1" si="71"/>
        <v>2021</v>
      </c>
      <c r="J223" s="2">
        <f t="shared" ca="1" si="72"/>
        <v>7012708</v>
      </c>
      <c r="K223" s="4">
        <f t="shared" ca="1" si="73"/>
        <v>10079099</v>
      </c>
      <c r="L223" t="str">
        <f t="shared" ca="1" si="74"/>
        <v>Daniel Cruz</v>
      </c>
      <c r="M223" t="str">
        <f t="shared" ca="1" si="75"/>
        <v>Investor</v>
      </c>
      <c r="N223" t="str">
        <f t="shared" ca="1" si="76"/>
        <v>Installment</v>
      </c>
      <c r="O223" s="1">
        <f t="shared" ca="1" si="77"/>
        <v>381</v>
      </c>
      <c r="P223" s="2">
        <f t="shared" ca="1" si="78"/>
        <v>302372.96999999997</v>
      </c>
      <c r="Q223" s="2">
        <f t="shared" ca="1" si="79"/>
        <v>3066391</v>
      </c>
      <c r="R223" s="3">
        <f t="shared" ca="1" si="80"/>
        <v>115851.71264367815</v>
      </c>
      <c r="S223">
        <f t="shared" ca="1" si="81"/>
        <v>87</v>
      </c>
      <c r="T223" s="2">
        <f t="shared" ca="1" si="82"/>
        <v>7012707.5627379613</v>
      </c>
      <c r="U223" s="17">
        <f t="shared" si="85"/>
        <v>2023</v>
      </c>
      <c r="V223" s="20" t="str">
        <f t="shared" si="83"/>
        <v>Mar-2023</v>
      </c>
    </row>
    <row r="224" spans="1:22" x14ac:dyDescent="0.3">
      <c r="A224" t="str">
        <f t="shared" si="84"/>
        <v>TX-00224</v>
      </c>
      <c r="B224" s="6">
        <v>43891</v>
      </c>
      <c r="C224" t="str">
        <f t="shared" ca="1" si="67"/>
        <v>Condo</v>
      </c>
      <c r="D224" s="1" t="str">
        <f t="shared" ca="1" si="68"/>
        <v>Bulacan</v>
      </c>
      <c r="E224" s="1">
        <f t="shared" ca="1" si="87"/>
        <v>1</v>
      </c>
      <c r="F224" s="1">
        <f t="shared" ca="1" si="87"/>
        <v>1</v>
      </c>
      <c r="G224">
        <f t="shared" ca="1" si="69"/>
        <v>101</v>
      </c>
      <c r="H224">
        <f t="shared" ca="1" si="70"/>
        <v>135</v>
      </c>
      <c r="I224">
        <f t="shared" ca="1" si="71"/>
        <v>2017</v>
      </c>
      <c r="J224" s="2">
        <f t="shared" ca="1" si="72"/>
        <v>11635673</v>
      </c>
      <c r="K224" s="4">
        <f t="shared" ca="1" si="73"/>
        <v>6590276</v>
      </c>
      <c r="L224" t="str">
        <f t="shared" ca="1" si="74"/>
        <v>Joy Ramos</v>
      </c>
      <c r="M224" t="str">
        <f t="shared" ca="1" si="75"/>
        <v>Corporation</v>
      </c>
      <c r="N224" t="str">
        <f t="shared" ca="1" si="76"/>
        <v>Pag-IBIG Loan</v>
      </c>
      <c r="O224" s="1">
        <f t="shared" ca="1" si="77"/>
        <v>362</v>
      </c>
      <c r="P224" s="2">
        <f t="shared" ca="1" si="78"/>
        <v>197708.28</v>
      </c>
      <c r="Q224" s="2">
        <f t="shared" ca="1" si="79"/>
        <v>-5045397</v>
      </c>
      <c r="R224" s="3">
        <f t="shared" ca="1" si="80"/>
        <v>65250.257425742573</v>
      </c>
      <c r="S224">
        <f t="shared" ca="1" si="81"/>
        <v>101</v>
      </c>
      <c r="T224" s="2">
        <f t="shared" ca="1" si="82"/>
        <v>11635673.433614541</v>
      </c>
      <c r="U224" s="17">
        <f t="shared" si="85"/>
        <v>2020</v>
      </c>
      <c r="V224" s="20" t="str">
        <f t="shared" si="83"/>
        <v>Mar-2020</v>
      </c>
    </row>
    <row r="225" spans="1:22" x14ac:dyDescent="0.3">
      <c r="A225" t="str">
        <f t="shared" si="84"/>
        <v>TX-00225</v>
      </c>
      <c r="B225" s="6">
        <v>44928</v>
      </c>
      <c r="C225" t="str">
        <f t="shared" ca="1" si="67"/>
        <v>Commercial</v>
      </c>
      <c r="D225" s="1" t="str">
        <f t="shared" ca="1" si="68"/>
        <v>Makati</v>
      </c>
      <c r="E225" s="1">
        <f t="shared" ca="1" si="87"/>
        <v>1</v>
      </c>
      <c r="F225" s="1">
        <f t="shared" ca="1" si="87"/>
        <v>1</v>
      </c>
      <c r="G225">
        <f t="shared" ca="1" si="69"/>
        <v>166</v>
      </c>
      <c r="H225">
        <f t="shared" ca="1" si="70"/>
        <v>52</v>
      </c>
      <c r="I225">
        <f t="shared" ca="1" si="71"/>
        <v>2018</v>
      </c>
      <c r="J225" s="2">
        <f t="shared" ca="1" si="72"/>
        <v>7974826</v>
      </c>
      <c r="K225" s="4">
        <f t="shared" ca="1" si="73"/>
        <v>10918825</v>
      </c>
      <c r="L225" t="str">
        <f t="shared" ca="1" si="74"/>
        <v>Mark Reyes</v>
      </c>
      <c r="M225" t="str">
        <f t="shared" ca="1" si="75"/>
        <v>Individual</v>
      </c>
      <c r="N225" t="str">
        <f t="shared" ca="1" si="76"/>
        <v>Pag-IBIG Loan</v>
      </c>
      <c r="O225" s="1">
        <f t="shared" ca="1" si="77"/>
        <v>343</v>
      </c>
      <c r="P225" s="2">
        <f t="shared" ca="1" si="78"/>
        <v>327564.75</v>
      </c>
      <c r="Q225" s="2">
        <f t="shared" ca="1" si="79"/>
        <v>2943999</v>
      </c>
      <c r="R225" s="3">
        <f t="shared" ca="1" si="80"/>
        <v>209977.40384615384</v>
      </c>
      <c r="S225">
        <f t="shared" ca="1" si="81"/>
        <v>52</v>
      </c>
      <c r="T225" s="2">
        <f t="shared" ca="1" si="82"/>
        <v>7974825.6308384659</v>
      </c>
      <c r="U225" s="17">
        <f t="shared" si="85"/>
        <v>2023</v>
      </c>
      <c r="V225" s="20" t="str">
        <f t="shared" si="83"/>
        <v>Jan-2023</v>
      </c>
    </row>
    <row r="226" spans="1:22" x14ac:dyDescent="0.3">
      <c r="A226" t="str">
        <f t="shared" si="84"/>
        <v>TX-00226</v>
      </c>
      <c r="B226" s="6">
        <v>45293</v>
      </c>
      <c r="C226" t="str">
        <f t="shared" ca="1" si="67"/>
        <v>House &amp; Lot</v>
      </c>
      <c r="D226" s="1" t="str">
        <f t="shared" ca="1" si="68"/>
        <v>Laguna</v>
      </c>
      <c r="E226" s="1">
        <f t="shared" ca="1" si="87"/>
        <v>3</v>
      </c>
      <c r="F226" s="1">
        <f t="shared" ca="1" si="87"/>
        <v>2</v>
      </c>
      <c r="G226">
        <f t="shared" ca="1" si="69"/>
        <v>50</v>
      </c>
      <c r="H226">
        <f t="shared" ca="1" si="70"/>
        <v>131</v>
      </c>
      <c r="I226">
        <f t="shared" ca="1" si="71"/>
        <v>2018</v>
      </c>
      <c r="J226" s="2">
        <f t="shared" ca="1" si="72"/>
        <v>12720205</v>
      </c>
      <c r="K226" s="4">
        <f t="shared" ca="1" si="73"/>
        <v>7095334</v>
      </c>
      <c r="L226" t="str">
        <f t="shared" ca="1" si="74"/>
        <v>Mary Garcia</v>
      </c>
      <c r="M226" t="str">
        <f t="shared" ca="1" si="75"/>
        <v>OFW</v>
      </c>
      <c r="N226" t="str">
        <f t="shared" ca="1" si="76"/>
        <v>Pag-IBIG Loan</v>
      </c>
      <c r="O226" s="1">
        <f t="shared" ca="1" si="77"/>
        <v>295</v>
      </c>
      <c r="P226" s="2">
        <f t="shared" ca="1" si="78"/>
        <v>212860.02</v>
      </c>
      <c r="Q226" s="2">
        <f t="shared" ca="1" si="79"/>
        <v>-5624871</v>
      </c>
      <c r="R226" s="3">
        <f t="shared" ca="1" si="80"/>
        <v>54162.854961832061</v>
      </c>
      <c r="S226">
        <f t="shared" ca="1" si="81"/>
        <v>131</v>
      </c>
      <c r="T226" s="2">
        <f t="shared" ca="1" si="82"/>
        <v>12720205.442199713</v>
      </c>
      <c r="U226" s="17">
        <f t="shared" si="85"/>
        <v>2024</v>
      </c>
      <c r="V226" s="20" t="str">
        <f t="shared" si="83"/>
        <v>Jan-2024</v>
      </c>
    </row>
    <row r="227" spans="1:22" x14ac:dyDescent="0.3">
      <c r="A227" t="str">
        <f t="shared" si="84"/>
        <v>TX-00227</v>
      </c>
      <c r="B227" s="6">
        <v>44660</v>
      </c>
      <c r="C227" t="str">
        <f t="shared" ca="1" si="67"/>
        <v>Land</v>
      </c>
      <c r="D227" s="1" t="str">
        <f t="shared" ca="1" si="68"/>
        <v>Cavite</v>
      </c>
      <c r="E227" s="1">
        <f t="shared" ca="1" si="87"/>
        <v>1</v>
      </c>
      <c r="F227" s="1">
        <f t="shared" ca="1" si="87"/>
        <v>4</v>
      </c>
      <c r="G227">
        <f t="shared" ca="1" si="69"/>
        <v>157</v>
      </c>
      <c r="H227">
        <f t="shared" ca="1" si="70"/>
        <v>229</v>
      </c>
      <c r="I227">
        <f t="shared" ca="1" si="71"/>
        <v>2014</v>
      </c>
      <c r="J227" s="2">
        <f t="shared" ca="1" si="72"/>
        <v>4300820</v>
      </c>
      <c r="K227" s="4">
        <f t="shared" ca="1" si="73"/>
        <v>5040279</v>
      </c>
      <c r="L227" t="str">
        <f t="shared" ca="1" si="74"/>
        <v>Mark Reyes</v>
      </c>
      <c r="M227" t="str">
        <f t="shared" ca="1" si="75"/>
        <v>Investor</v>
      </c>
      <c r="N227" t="str">
        <f t="shared" ca="1" si="76"/>
        <v>Pag-IBIG Loan</v>
      </c>
      <c r="O227" s="1">
        <f t="shared" ca="1" si="77"/>
        <v>239</v>
      </c>
      <c r="P227" s="2">
        <f t="shared" ca="1" si="78"/>
        <v>151208.37</v>
      </c>
      <c r="Q227" s="2">
        <f t="shared" ca="1" si="79"/>
        <v>739459</v>
      </c>
      <c r="R227" s="3">
        <f t="shared" ca="1" si="80"/>
        <v>22009.951965065502</v>
      </c>
      <c r="S227">
        <f t="shared" ca="1" si="81"/>
        <v>229</v>
      </c>
      <c r="T227" s="2">
        <f t="shared" ca="1" si="82"/>
        <v>4300819.8280655779</v>
      </c>
      <c r="U227" s="17">
        <f t="shared" si="85"/>
        <v>2022</v>
      </c>
      <c r="V227" s="20" t="str">
        <f t="shared" si="83"/>
        <v>Apr-2022</v>
      </c>
    </row>
    <row r="228" spans="1:22" x14ac:dyDescent="0.3">
      <c r="A228" t="str">
        <f t="shared" si="84"/>
        <v>TX-00228</v>
      </c>
      <c r="B228" s="6">
        <v>46029</v>
      </c>
      <c r="C228" t="str">
        <f t="shared" ca="1" si="67"/>
        <v>Land</v>
      </c>
      <c r="D228" s="1" t="str">
        <f t="shared" ca="1" si="68"/>
        <v>Laguna</v>
      </c>
      <c r="E228" s="1">
        <f t="shared" ca="1" si="87"/>
        <v>3</v>
      </c>
      <c r="F228" s="1">
        <f t="shared" ca="1" si="87"/>
        <v>2</v>
      </c>
      <c r="G228">
        <f t="shared" ca="1" si="69"/>
        <v>93</v>
      </c>
      <c r="H228">
        <f t="shared" ca="1" si="70"/>
        <v>137</v>
      </c>
      <c r="I228">
        <f t="shared" ca="1" si="71"/>
        <v>2016</v>
      </c>
      <c r="J228" s="2">
        <f t="shared" ca="1" si="72"/>
        <v>9374014</v>
      </c>
      <c r="K228" s="4">
        <f t="shared" ca="1" si="73"/>
        <v>9260504</v>
      </c>
      <c r="L228" t="str">
        <f t="shared" ca="1" si="74"/>
        <v>Mary Garcia</v>
      </c>
      <c r="M228" t="str">
        <f t="shared" ca="1" si="75"/>
        <v>Corporation</v>
      </c>
      <c r="N228" t="str">
        <f t="shared" ca="1" si="76"/>
        <v>Pag-IBIG Loan</v>
      </c>
      <c r="O228" s="1">
        <f t="shared" ca="1" si="77"/>
        <v>133</v>
      </c>
      <c r="P228" s="2">
        <f t="shared" ca="1" si="78"/>
        <v>277815.12</v>
      </c>
      <c r="Q228" s="2">
        <f t="shared" ca="1" si="79"/>
        <v>-113510</v>
      </c>
      <c r="R228" s="3">
        <f t="shared" ca="1" si="80"/>
        <v>67594.919708029192</v>
      </c>
      <c r="S228">
        <f t="shared" ca="1" si="81"/>
        <v>137</v>
      </c>
      <c r="T228" s="2">
        <f t="shared" ca="1" si="82"/>
        <v>9374014.0121090077</v>
      </c>
      <c r="U228" s="17">
        <f t="shared" si="85"/>
        <v>2026</v>
      </c>
      <c r="V228" s="20" t="str">
        <f t="shared" si="83"/>
        <v>Jan-2026</v>
      </c>
    </row>
    <row r="229" spans="1:22" x14ac:dyDescent="0.3">
      <c r="A229" t="str">
        <f t="shared" si="84"/>
        <v>TX-00229</v>
      </c>
      <c r="B229" s="6">
        <v>45362</v>
      </c>
      <c r="C229" t="str">
        <f t="shared" ca="1" si="67"/>
        <v>Commercial</v>
      </c>
      <c r="D229" s="1" t="str">
        <f t="shared" ca="1" si="68"/>
        <v>Bulacan</v>
      </c>
      <c r="E229" s="1">
        <f t="shared" ca="1" si="87"/>
        <v>3</v>
      </c>
      <c r="F229" s="1">
        <f t="shared" ca="1" si="87"/>
        <v>3</v>
      </c>
      <c r="G229">
        <f t="shared" ca="1" si="69"/>
        <v>96</v>
      </c>
      <c r="H229">
        <f t="shared" ca="1" si="70"/>
        <v>56</v>
      </c>
      <c r="I229">
        <f t="shared" ca="1" si="71"/>
        <v>2013</v>
      </c>
      <c r="J229" s="2">
        <f t="shared" ca="1" si="72"/>
        <v>8411512</v>
      </c>
      <c r="K229" s="4">
        <f t="shared" ca="1" si="73"/>
        <v>3441225</v>
      </c>
      <c r="L229" t="str">
        <f t="shared" ca="1" si="74"/>
        <v>Daniel Cruz</v>
      </c>
      <c r="M229" t="str">
        <f t="shared" ca="1" si="75"/>
        <v>Individual</v>
      </c>
      <c r="N229" t="str">
        <f t="shared" ca="1" si="76"/>
        <v>Bank Loan</v>
      </c>
      <c r="O229" s="1">
        <f t="shared" ca="1" si="77"/>
        <v>197</v>
      </c>
      <c r="P229" s="2">
        <f t="shared" ca="1" si="78"/>
        <v>103236.75</v>
      </c>
      <c r="Q229" s="2">
        <f t="shared" ca="1" si="79"/>
        <v>-4970287</v>
      </c>
      <c r="R229" s="3">
        <f t="shared" ca="1" si="80"/>
        <v>61450.446428571428</v>
      </c>
      <c r="S229">
        <f t="shared" ca="1" si="81"/>
        <v>56</v>
      </c>
      <c r="T229" s="2">
        <f t="shared" ca="1" si="82"/>
        <v>8411512.5908910315</v>
      </c>
      <c r="U229" s="17">
        <f t="shared" si="85"/>
        <v>2024</v>
      </c>
      <c r="V229" s="20" t="str">
        <f t="shared" si="83"/>
        <v>Mar-2024</v>
      </c>
    </row>
    <row r="230" spans="1:22" x14ac:dyDescent="0.3">
      <c r="A230" t="str">
        <f t="shared" si="84"/>
        <v>TX-00230</v>
      </c>
      <c r="B230" s="6">
        <v>45987</v>
      </c>
      <c r="C230" t="str">
        <f t="shared" ca="1" si="67"/>
        <v>Land</v>
      </c>
      <c r="D230" s="1" t="str">
        <f t="shared" ca="1" si="68"/>
        <v>Makati</v>
      </c>
      <c r="E230" s="1">
        <f t="shared" ca="1" si="87"/>
        <v>3</v>
      </c>
      <c r="F230" s="1">
        <f t="shared" ca="1" si="87"/>
        <v>4</v>
      </c>
      <c r="G230">
        <f t="shared" ca="1" si="69"/>
        <v>76</v>
      </c>
      <c r="H230">
        <f t="shared" ca="1" si="70"/>
        <v>136</v>
      </c>
      <c r="I230">
        <f t="shared" ca="1" si="71"/>
        <v>2014</v>
      </c>
      <c r="J230" s="2">
        <f t="shared" ca="1" si="72"/>
        <v>7745118</v>
      </c>
      <c r="K230" s="4">
        <f t="shared" ca="1" si="73"/>
        <v>7085137</v>
      </c>
      <c r="L230" t="str">
        <f t="shared" ca="1" si="74"/>
        <v>Joy Ramos</v>
      </c>
      <c r="M230" t="str">
        <f t="shared" ca="1" si="75"/>
        <v>OFW</v>
      </c>
      <c r="N230" t="str">
        <f t="shared" ca="1" si="76"/>
        <v>Pag-IBIG Loan</v>
      </c>
      <c r="O230" s="1">
        <f t="shared" ca="1" si="77"/>
        <v>296</v>
      </c>
      <c r="P230" s="2">
        <f t="shared" ca="1" si="78"/>
        <v>212554.11</v>
      </c>
      <c r="Q230" s="2">
        <f t="shared" ca="1" si="79"/>
        <v>-659981</v>
      </c>
      <c r="R230" s="3">
        <f t="shared" ca="1" si="80"/>
        <v>52096.595588235294</v>
      </c>
      <c r="S230">
        <f t="shared" ca="1" si="81"/>
        <v>136</v>
      </c>
      <c r="T230" s="2">
        <f t="shared" ca="1" si="82"/>
        <v>7745118.0852125175</v>
      </c>
      <c r="U230" s="17">
        <f t="shared" si="85"/>
        <v>2025</v>
      </c>
      <c r="V230" s="20" t="str">
        <f t="shared" si="83"/>
        <v>Nov-2025</v>
      </c>
    </row>
    <row r="231" spans="1:22" x14ac:dyDescent="0.3">
      <c r="A231" t="str">
        <f t="shared" si="84"/>
        <v>TX-00231</v>
      </c>
      <c r="B231" s="6">
        <v>45309</v>
      </c>
      <c r="C231" t="str">
        <f t="shared" ca="1" si="67"/>
        <v>House &amp; Lot</v>
      </c>
      <c r="D231" s="1" t="str">
        <f t="shared" ca="1" si="68"/>
        <v>Laguna</v>
      </c>
      <c r="E231" s="1">
        <f t="shared" ca="1" si="87"/>
        <v>1</v>
      </c>
      <c r="F231" s="1">
        <f t="shared" ca="1" si="87"/>
        <v>3</v>
      </c>
      <c r="G231">
        <f t="shared" ca="1" si="69"/>
        <v>87</v>
      </c>
      <c r="H231">
        <f t="shared" ca="1" si="70"/>
        <v>209</v>
      </c>
      <c r="I231">
        <f t="shared" ca="1" si="71"/>
        <v>2019</v>
      </c>
      <c r="J231" s="2">
        <f t="shared" ca="1" si="72"/>
        <v>8266900</v>
      </c>
      <c r="K231" s="4">
        <f t="shared" ca="1" si="73"/>
        <v>8014340</v>
      </c>
      <c r="L231" t="str">
        <f t="shared" ca="1" si="74"/>
        <v>John Dela Cruz</v>
      </c>
      <c r="M231" t="str">
        <f t="shared" ca="1" si="75"/>
        <v>Individual</v>
      </c>
      <c r="N231" t="str">
        <f t="shared" ca="1" si="76"/>
        <v>Bank Loan</v>
      </c>
      <c r="O231" s="1">
        <f t="shared" ca="1" si="77"/>
        <v>239</v>
      </c>
      <c r="P231" s="2">
        <f t="shared" ca="1" si="78"/>
        <v>240430.19999999998</v>
      </c>
      <c r="Q231" s="2">
        <f t="shared" ca="1" si="79"/>
        <v>-252560</v>
      </c>
      <c r="R231" s="3">
        <f t="shared" ca="1" si="80"/>
        <v>38346.124401913876</v>
      </c>
      <c r="S231">
        <f t="shared" ca="1" si="81"/>
        <v>209</v>
      </c>
      <c r="T231" s="2">
        <f t="shared" ca="1" si="82"/>
        <v>8266900.0305507509</v>
      </c>
      <c r="U231" s="17">
        <f t="shared" si="85"/>
        <v>2024</v>
      </c>
      <c r="V231" s="20" t="str">
        <f t="shared" si="83"/>
        <v>Jan-2024</v>
      </c>
    </row>
    <row r="232" spans="1:22" x14ac:dyDescent="0.3">
      <c r="A232" t="str">
        <f t="shared" si="84"/>
        <v>TX-00232</v>
      </c>
      <c r="B232" s="6">
        <v>43154</v>
      </c>
      <c r="C232" t="str">
        <f t="shared" ca="1" si="67"/>
        <v>Condo</v>
      </c>
      <c r="D232" s="1" t="str">
        <f t="shared" ca="1" si="68"/>
        <v>Bulacan</v>
      </c>
      <c r="E232" s="1">
        <f t="shared" ca="1" si="87"/>
        <v>3</v>
      </c>
      <c r="F232" s="1">
        <f t="shared" ca="1" si="87"/>
        <v>2</v>
      </c>
      <c r="G232">
        <f t="shared" ca="1" si="69"/>
        <v>105</v>
      </c>
      <c r="H232">
        <f t="shared" ca="1" si="70"/>
        <v>174</v>
      </c>
      <c r="I232">
        <f t="shared" ca="1" si="71"/>
        <v>2010</v>
      </c>
      <c r="J232" s="2">
        <f t="shared" ca="1" si="72"/>
        <v>9868345</v>
      </c>
      <c r="K232" s="4">
        <f t="shared" ca="1" si="73"/>
        <v>10268417</v>
      </c>
      <c r="L232" t="str">
        <f t="shared" ca="1" si="74"/>
        <v>Joy Ramos</v>
      </c>
      <c r="M232" t="str">
        <f t="shared" ca="1" si="75"/>
        <v>Corporation</v>
      </c>
      <c r="N232" t="str">
        <f t="shared" ca="1" si="76"/>
        <v>Pag-IBIG Loan</v>
      </c>
      <c r="O232" s="1">
        <f t="shared" ca="1" si="77"/>
        <v>340</v>
      </c>
      <c r="P232" s="2">
        <f t="shared" ca="1" si="78"/>
        <v>308052.51</v>
      </c>
      <c r="Q232" s="2">
        <f t="shared" ca="1" si="79"/>
        <v>400072</v>
      </c>
      <c r="R232" s="3">
        <f t="shared" ca="1" si="80"/>
        <v>97794.447619047613</v>
      </c>
      <c r="S232">
        <f t="shared" ca="1" si="81"/>
        <v>105</v>
      </c>
      <c r="T232" s="2">
        <f t="shared" ca="1" si="82"/>
        <v>9868344.9594590589</v>
      </c>
      <c r="U232" s="17">
        <f t="shared" si="85"/>
        <v>2018</v>
      </c>
      <c r="V232" s="20" t="str">
        <f t="shared" si="83"/>
        <v>Feb-2018</v>
      </c>
    </row>
    <row r="233" spans="1:22" x14ac:dyDescent="0.3">
      <c r="A233" t="str">
        <f t="shared" si="84"/>
        <v>TX-00233</v>
      </c>
      <c r="B233" s="6">
        <v>45161</v>
      </c>
      <c r="C233" t="str">
        <f t="shared" ca="1" si="67"/>
        <v>Land</v>
      </c>
      <c r="D233" s="1" t="str">
        <f t="shared" ca="1" si="68"/>
        <v>Bulacan</v>
      </c>
      <c r="E233" s="1">
        <f t="shared" ca="1" si="87"/>
        <v>4</v>
      </c>
      <c r="F233" s="1">
        <f t="shared" ca="1" si="87"/>
        <v>2</v>
      </c>
      <c r="G233">
        <f t="shared" ca="1" si="69"/>
        <v>70</v>
      </c>
      <c r="H233">
        <f t="shared" ca="1" si="70"/>
        <v>233</v>
      </c>
      <c r="I233">
        <f t="shared" ca="1" si="71"/>
        <v>2018</v>
      </c>
      <c r="J233" s="2">
        <f t="shared" ca="1" si="72"/>
        <v>4386719</v>
      </c>
      <c r="K233" s="4">
        <f t="shared" ca="1" si="73"/>
        <v>2235489</v>
      </c>
      <c r="L233" t="str">
        <f t="shared" ca="1" si="74"/>
        <v>John Dela Cruz</v>
      </c>
      <c r="M233" t="str">
        <f t="shared" ca="1" si="75"/>
        <v>OFW</v>
      </c>
      <c r="N233" t="str">
        <f t="shared" ca="1" si="76"/>
        <v>Cash</v>
      </c>
      <c r="O233" s="1">
        <f t="shared" ca="1" si="77"/>
        <v>126</v>
      </c>
      <c r="P233" s="2">
        <f t="shared" ca="1" si="78"/>
        <v>67064.67</v>
      </c>
      <c r="Q233" s="2">
        <f t="shared" ca="1" si="79"/>
        <v>-2151230</v>
      </c>
      <c r="R233" s="3">
        <f t="shared" ca="1" si="80"/>
        <v>9594.3733905579393</v>
      </c>
      <c r="S233">
        <f t="shared" ca="1" si="81"/>
        <v>233</v>
      </c>
      <c r="T233" s="2">
        <f t="shared" ca="1" si="82"/>
        <v>4386719.4903961252</v>
      </c>
      <c r="U233" s="17">
        <f t="shared" si="85"/>
        <v>2023</v>
      </c>
      <c r="V233" s="20" t="str">
        <f t="shared" si="83"/>
        <v>Aug-2023</v>
      </c>
    </row>
    <row r="234" spans="1:22" x14ac:dyDescent="0.3">
      <c r="A234" t="str">
        <f t="shared" si="84"/>
        <v>TX-00234</v>
      </c>
      <c r="B234" s="6">
        <v>43442</v>
      </c>
      <c r="C234" t="str">
        <f t="shared" ca="1" si="67"/>
        <v>Commercial</v>
      </c>
      <c r="D234" s="1" t="str">
        <f t="shared" ca="1" si="68"/>
        <v>Makati</v>
      </c>
      <c r="E234" s="1">
        <f t="shared" ca="1" si="87"/>
        <v>3</v>
      </c>
      <c r="F234" s="1">
        <f t="shared" ca="1" si="87"/>
        <v>3</v>
      </c>
      <c r="G234">
        <f t="shared" ca="1" si="69"/>
        <v>97</v>
      </c>
      <c r="H234">
        <f t="shared" ca="1" si="70"/>
        <v>158</v>
      </c>
      <c r="I234">
        <f t="shared" ca="1" si="71"/>
        <v>2020</v>
      </c>
      <c r="J234" s="2">
        <f t="shared" ca="1" si="72"/>
        <v>9982658</v>
      </c>
      <c r="K234" s="4">
        <f t="shared" ca="1" si="73"/>
        <v>6345656</v>
      </c>
      <c r="L234" t="str">
        <f t="shared" ca="1" si="74"/>
        <v>John Dela Cruz</v>
      </c>
      <c r="M234" t="str">
        <f t="shared" ca="1" si="75"/>
        <v>Corporation</v>
      </c>
      <c r="N234" t="str">
        <f t="shared" ca="1" si="76"/>
        <v>Cash</v>
      </c>
      <c r="O234" s="1">
        <f t="shared" ca="1" si="77"/>
        <v>241</v>
      </c>
      <c r="P234" s="2">
        <f t="shared" ca="1" si="78"/>
        <v>190369.68</v>
      </c>
      <c r="Q234" s="2">
        <f t="shared" ca="1" si="79"/>
        <v>-3637002</v>
      </c>
      <c r="R234" s="3">
        <f t="shared" ca="1" si="80"/>
        <v>40162.379746835446</v>
      </c>
      <c r="S234">
        <f t="shared" ca="1" si="81"/>
        <v>158</v>
      </c>
      <c r="T234" s="2">
        <f t="shared" ca="1" si="82"/>
        <v>9982658.364332024</v>
      </c>
      <c r="U234" s="17">
        <f t="shared" si="85"/>
        <v>2018</v>
      </c>
      <c r="V234" s="20" t="str">
        <f t="shared" si="83"/>
        <v>Dec-2018</v>
      </c>
    </row>
    <row r="235" spans="1:22" x14ac:dyDescent="0.3">
      <c r="A235" t="str">
        <f t="shared" si="84"/>
        <v>TX-00235</v>
      </c>
      <c r="B235" s="6">
        <v>43147</v>
      </c>
      <c r="C235" t="str">
        <f t="shared" ca="1" si="67"/>
        <v>House &amp; Lot</v>
      </c>
      <c r="D235" s="1" t="str">
        <f t="shared" ca="1" si="68"/>
        <v>Makati</v>
      </c>
      <c r="E235" s="1">
        <f t="shared" ca="1" si="87"/>
        <v>1</v>
      </c>
      <c r="F235" s="1">
        <f t="shared" ca="1" si="87"/>
        <v>3</v>
      </c>
      <c r="G235">
        <f t="shared" ca="1" si="69"/>
        <v>162</v>
      </c>
      <c r="H235">
        <f t="shared" ca="1" si="70"/>
        <v>153</v>
      </c>
      <c r="I235">
        <f t="shared" ca="1" si="71"/>
        <v>2019</v>
      </c>
      <c r="J235" s="2">
        <f t="shared" ca="1" si="72"/>
        <v>8468881</v>
      </c>
      <c r="K235" s="4">
        <f t="shared" ca="1" si="73"/>
        <v>6800360</v>
      </c>
      <c r="L235" t="str">
        <f t="shared" ca="1" si="74"/>
        <v>Joy Ramos</v>
      </c>
      <c r="M235" t="str">
        <f t="shared" ca="1" si="75"/>
        <v>Corporation</v>
      </c>
      <c r="N235" t="str">
        <f t="shared" ca="1" si="76"/>
        <v>Pag-IBIG Loan</v>
      </c>
      <c r="O235" s="1">
        <f t="shared" ca="1" si="77"/>
        <v>214</v>
      </c>
      <c r="P235" s="2">
        <f t="shared" ca="1" si="78"/>
        <v>204010.8</v>
      </c>
      <c r="Q235" s="2">
        <f t="shared" ca="1" si="79"/>
        <v>-1668521</v>
      </c>
      <c r="R235" s="3">
        <f t="shared" ca="1" si="80"/>
        <v>44446.797385620914</v>
      </c>
      <c r="S235">
        <f t="shared" ca="1" si="81"/>
        <v>153</v>
      </c>
      <c r="T235" s="2">
        <f t="shared" ca="1" si="82"/>
        <v>8468881.197017882</v>
      </c>
      <c r="U235" s="17">
        <f t="shared" si="85"/>
        <v>2018</v>
      </c>
      <c r="V235" s="20" t="str">
        <f t="shared" si="83"/>
        <v>Feb-2018</v>
      </c>
    </row>
    <row r="236" spans="1:22" x14ac:dyDescent="0.3">
      <c r="A236" t="str">
        <f t="shared" si="84"/>
        <v>TX-00236</v>
      </c>
      <c r="B236" s="6">
        <v>44734</v>
      </c>
      <c r="C236" t="str">
        <f t="shared" ca="1" si="67"/>
        <v>House &amp; Lot</v>
      </c>
      <c r="D236" s="1" t="str">
        <f t="shared" ca="1" si="68"/>
        <v>Laguna</v>
      </c>
      <c r="E236" s="1">
        <f t="shared" ca="1" si="87"/>
        <v>2</v>
      </c>
      <c r="F236" s="1">
        <f t="shared" ca="1" si="87"/>
        <v>4</v>
      </c>
      <c r="G236">
        <f t="shared" ca="1" si="69"/>
        <v>70</v>
      </c>
      <c r="H236">
        <f t="shared" ca="1" si="70"/>
        <v>122</v>
      </c>
      <c r="I236">
        <f t="shared" ca="1" si="71"/>
        <v>2013</v>
      </c>
      <c r="J236" s="2">
        <f t="shared" ca="1" si="72"/>
        <v>4004565</v>
      </c>
      <c r="K236" s="4">
        <f t="shared" ca="1" si="73"/>
        <v>2718615</v>
      </c>
      <c r="L236" t="str">
        <f t="shared" ca="1" si="74"/>
        <v>Joy Ramos</v>
      </c>
      <c r="M236" t="str">
        <f t="shared" ca="1" si="75"/>
        <v>Investor</v>
      </c>
      <c r="N236" t="str">
        <f t="shared" ca="1" si="76"/>
        <v>Cash</v>
      </c>
      <c r="O236" s="1">
        <f t="shared" ca="1" si="77"/>
        <v>241</v>
      </c>
      <c r="P236" s="2">
        <f t="shared" ca="1" si="78"/>
        <v>81558.45</v>
      </c>
      <c r="Q236" s="2">
        <f t="shared" ca="1" si="79"/>
        <v>-1285950</v>
      </c>
      <c r="R236" s="3">
        <f t="shared" ca="1" si="80"/>
        <v>22283.72950819672</v>
      </c>
      <c r="S236">
        <f t="shared" ca="1" si="81"/>
        <v>122</v>
      </c>
      <c r="T236" s="2">
        <f t="shared" ca="1" si="82"/>
        <v>4004565.3211210207</v>
      </c>
      <c r="U236" s="17">
        <f t="shared" si="85"/>
        <v>2022</v>
      </c>
      <c r="V236" s="20" t="str">
        <f t="shared" si="83"/>
        <v>Jun-2022</v>
      </c>
    </row>
    <row r="237" spans="1:22" x14ac:dyDescent="0.3">
      <c r="A237" t="str">
        <f t="shared" si="84"/>
        <v>TX-00237</v>
      </c>
      <c r="B237" s="6">
        <v>44910</v>
      </c>
      <c r="C237" t="str">
        <f t="shared" ca="1" si="67"/>
        <v>Commercial</v>
      </c>
      <c r="D237" s="1" t="str">
        <f t="shared" ca="1" si="68"/>
        <v>Makati</v>
      </c>
      <c r="E237" s="1">
        <f t="shared" ca="1" si="87"/>
        <v>2</v>
      </c>
      <c r="F237" s="1">
        <f t="shared" ca="1" si="87"/>
        <v>1</v>
      </c>
      <c r="G237">
        <f t="shared" ca="1" si="69"/>
        <v>174</v>
      </c>
      <c r="H237">
        <f t="shared" ca="1" si="70"/>
        <v>169</v>
      </c>
      <c r="I237">
        <f t="shared" ca="1" si="71"/>
        <v>2011</v>
      </c>
      <c r="J237" s="2">
        <f t="shared" ca="1" si="72"/>
        <v>6740605</v>
      </c>
      <c r="K237" s="4">
        <f t="shared" ca="1" si="73"/>
        <v>3860344</v>
      </c>
      <c r="L237" t="str">
        <f t="shared" ca="1" si="74"/>
        <v>Daniel Cruz</v>
      </c>
      <c r="M237" t="str">
        <f t="shared" ca="1" si="75"/>
        <v>Individual</v>
      </c>
      <c r="N237" t="str">
        <f t="shared" ca="1" si="76"/>
        <v>Cash</v>
      </c>
      <c r="O237" s="1">
        <f t="shared" ca="1" si="77"/>
        <v>184</v>
      </c>
      <c r="P237" s="2">
        <f t="shared" ca="1" si="78"/>
        <v>115810.31999999999</v>
      </c>
      <c r="Q237" s="2">
        <f t="shared" ca="1" si="79"/>
        <v>-2880261</v>
      </c>
      <c r="R237" s="3">
        <f t="shared" ca="1" si="80"/>
        <v>22842.272189349111</v>
      </c>
      <c r="S237">
        <f t="shared" ca="1" si="81"/>
        <v>169</v>
      </c>
      <c r="T237" s="2">
        <f t="shared" ca="1" si="82"/>
        <v>6740605.4273000713</v>
      </c>
      <c r="U237" s="17">
        <f t="shared" si="85"/>
        <v>2022</v>
      </c>
      <c r="V237" s="20" t="str">
        <f t="shared" si="83"/>
        <v>Dec-2022</v>
      </c>
    </row>
    <row r="238" spans="1:22" x14ac:dyDescent="0.3">
      <c r="A238" t="str">
        <f t="shared" si="84"/>
        <v>TX-00238</v>
      </c>
      <c r="B238" s="6">
        <v>43425</v>
      </c>
      <c r="C238" t="str">
        <f t="shared" ca="1" si="67"/>
        <v>Condo</v>
      </c>
      <c r="D238" s="1" t="str">
        <f t="shared" ca="1" si="68"/>
        <v>Cavite</v>
      </c>
      <c r="E238" s="1">
        <f t="shared" ca="1" si="87"/>
        <v>4</v>
      </c>
      <c r="F238" s="1">
        <f t="shared" ca="1" si="87"/>
        <v>3</v>
      </c>
      <c r="G238">
        <f t="shared" ca="1" si="69"/>
        <v>115</v>
      </c>
      <c r="H238">
        <f t="shared" ca="1" si="70"/>
        <v>78</v>
      </c>
      <c r="I238">
        <f t="shared" ca="1" si="71"/>
        <v>2012</v>
      </c>
      <c r="J238" s="2">
        <f t="shared" ca="1" si="72"/>
        <v>5002937</v>
      </c>
      <c r="K238" s="4">
        <f t="shared" ca="1" si="73"/>
        <v>8432833</v>
      </c>
      <c r="L238" t="str">
        <f t="shared" ca="1" si="74"/>
        <v>Anna Mendoza</v>
      </c>
      <c r="M238" t="str">
        <f t="shared" ca="1" si="75"/>
        <v>OFW</v>
      </c>
      <c r="N238" t="str">
        <f t="shared" ca="1" si="76"/>
        <v>Cash</v>
      </c>
      <c r="O238" s="1">
        <f t="shared" ca="1" si="77"/>
        <v>381</v>
      </c>
      <c r="P238" s="2">
        <f t="shared" ca="1" si="78"/>
        <v>252984.99</v>
      </c>
      <c r="Q238" s="2">
        <f t="shared" ca="1" si="79"/>
        <v>3429896</v>
      </c>
      <c r="R238" s="3">
        <f t="shared" ca="1" si="80"/>
        <v>73328.982608695645</v>
      </c>
      <c r="S238">
        <f t="shared" ca="1" si="81"/>
        <v>115</v>
      </c>
      <c r="T238" s="2">
        <f t="shared" ca="1" si="82"/>
        <v>5002936.314423508</v>
      </c>
      <c r="U238" s="17">
        <f t="shared" si="85"/>
        <v>2018</v>
      </c>
      <c r="V238" s="20" t="str">
        <f t="shared" si="83"/>
        <v>Nov-2018</v>
      </c>
    </row>
    <row r="239" spans="1:22" x14ac:dyDescent="0.3">
      <c r="A239" t="str">
        <f t="shared" si="84"/>
        <v>TX-00239</v>
      </c>
      <c r="B239" s="6">
        <v>43818</v>
      </c>
      <c r="C239" t="str">
        <f t="shared" ca="1" si="67"/>
        <v>House &amp; Lot</v>
      </c>
      <c r="D239" s="1" t="str">
        <f t="shared" ca="1" si="68"/>
        <v>Makati</v>
      </c>
      <c r="E239" s="1">
        <f t="shared" ca="1" si="87"/>
        <v>2</v>
      </c>
      <c r="F239" s="1">
        <f t="shared" ca="1" si="87"/>
        <v>1</v>
      </c>
      <c r="G239">
        <f t="shared" ca="1" si="69"/>
        <v>184</v>
      </c>
      <c r="H239">
        <f t="shared" ca="1" si="70"/>
        <v>208</v>
      </c>
      <c r="I239">
        <f t="shared" ca="1" si="71"/>
        <v>2013</v>
      </c>
      <c r="J239" s="2">
        <f t="shared" ca="1" si="72"/>
        <v>14116180</v>
      </c>
      <c r="K239" s="4">
        <f t="shared" ca="1" si="73"/>
        <v>11287396</v>
      </c>
      <c r="L239" t="str">
        <f t="shared" ca="1" si="74"/>
        <v>Rachel Villanueva</v>
      </c>
      <c r="M239" t="str">
        <f t="shared" ca="1" si="75"/>
        <v>OFW</v>
      </c>
      <c r="N239" t="str">
        <f t="shared" ca="1" si="76"/>
        <v>Pag-IBIG Loan</v>
      </c>
      <c r="O239" s="1">
        <f t="shared" ca="1" si="77"/>
        <v>169</v>
      </c>
      <c r="P239" s="2">
        <f t="shared" ca="1" si="78"/>
        <v>338621.88</v>
      </c>
      <c r="Q239" s="2">
        <f t="shared" ca="1" si="79"/>
        <v>-2828784</v>
      </c>
      <c r="R239" s="3">
        <f t="shared" ca="1" si="80"/>
        <v>54266.326923076922</v>
      </c>
      <c r="S239">
        <f t="shared" ca="1" si="81"/>
        <v>208</v>
      </c>
      <c r="T239" s="2">
        <f t="shared" ca="1" si="82"/>
        <v>14116180.200393025</v>
      </c>
      <c r="U239" s="17">
        <f t="shared" si="85"/>
        <v>2019</v>
      </c>
      <c r="V239" s="20" t="str">
        <f t="shared" si="83"/>
        <v>Dec-2019</v>
      </c>
    </row>
    <row r="240" spans="1:22" x14ac:dyDescent="0.3">
      <c r="A240" t="str">
        <f t="shared" si="84"/>
        <v>TX-00240</v>
      </c>
      <c r="B240" s="6">
        <v>44740</v>
      </c>
      <c r="C240" t="str">
        <f t="shared" ca="1" si="67"/>
        <v>Commercial</v>
      </c>
      <c r="D240" s="1" t="str">
        <f t="shared" ca="1" si="68"/>
        <v>Bulacan</v>
      </c>
      <c r="E240" s="1">
        <f t="shared" ca="1" si="87"/>
        <v>2</v>
      </c>
      <c r="F240" s="1">
        <f t="shared" ca="1" si="87"/>
        <v>1</v>
      </c>
      <c r="G240">
        <f t="shared" ca="1" si="69"/>
        <v>61</v>
      </c>
      <c r="H240">
        <f t="shared" ca="1" si="70"/>
        <v>223</v>
      </c>
      <c r="I240">
        <f t="shared" ca="1" si="71"/>
        <v>2019</v>
      </c>
      <c r="J240" s="2">
        <f t="shared" ca="1" si="72"/>
        <v>2365869</v>
      </c>
      <c r="K240" s="4">
        <f t="shared" ca="1" si="73"/>
        <v>4856130</v>
      </c>
      <c r="L240" t="str">
        <f t="shared" ca="1" si="74"/>
        <v>Joy Ramos</v>
      </c>
      <c r="M240" t="str">
        <f t="shared" ca="1" si="75"/>
        <v>Investor</v>
      </c>
      <c r="N240" t="str">
        <f t="shared" ca="1" si="76"/>
        <v>Cash</v>
      </c>
      <c r="O240" s="1">
        <f t="shared" ca="1" si="77"/>
        <v>309</v>
      </c>
      <c r="P240" s="2">
        <f t="shared" ca="1" si="78"/>
        <v>145683.9</v>
      </c>
      <c r="Q240" s="2">
        <f t="shared" ca="1" si="79"/>
        <v>2490261</v>
      </c>
      <c r="R240" s="3">
        <f t="shared" ca="1" si="80"/>
        <v>21776.367713004485</v>
      </c>
      <c r="S240">
        <f t="shared" ca="1" si="81"/>
        <v>223</v>
      </c>
      <c r="T240" s="2">
        <f t="shared" ca="1" si="82"/>
        <v>2365867.947422279</v>
      </c>
      <c r="U240" s="17">
        <f t="shared" si="85"/>
        <v>2022</v>
      </c>
      <c r="V240" s="20" t="str">
        <f t="shared" si="83"/>
        <v>Jun-2022</v>
      </c>
    </row>
    <row r="241" spans="1:22" x14ac:dyDescent="0.3">
      <c r="A241" t="str">
        <f t="shared" si="84"/>
        <v>TX-00241</v>
      </c>
      <c r="B241" s="6">
        <v>45661</v>
      </c>
      <c r="C241" t="str">
        <f t="shared" ca="1" si="67"/>
        <v>House &amp; Lot</v>
      </c>
      <c r="D241" s="1" t="str">
        <f t="shared" ca="1" si="68"/>
        <v>Cavite</v>
      </c>
      <c r="E241" s="1">
        <f t="shared" ca="1" si="87"/>
        <v>1</v>
      </c>
      <c r="F241" s="1">
        <f t="shared" ca="1" si="87"/>
        <v>1</v>
      </c>
      <c r="G241">
        <f t="shared" ca="1" si="69"/>
        <v>50</v>
      </c>
      <c r="H241">
        <f t="shared" ca="1" si="70"/>
        <v>61</v>
      </c>
      <c r="I241">
        <f t="shared" ca="1" si="71"/>
        <v>2011</v>
      </c>
      <c r="J241" s="2">
        <f t="shared" ca="1" si="72"/>
        <v>7375018</v>
      </c>
      <c r="K241" s="4">
        <f t="shared" ca="1" si="73"/>
        <v>2979997</v>
      </c>
      <c r="L241" t="str">
        <f t="shared" ca="1" si="74"/>
        <v>Mary Garcia</v>
      </c>
      <c r="M241" t="str">
        <f t="shared" ca="1" si="75"/>
        <v>Individual</v>
      </c>
      <c r="N241" t="str">
        <f t="shared" ca="1" si="76"/>
        <v>Bank Loan</v>
      </c>
      <c r="O241" s="1">
        <f t="shared" ca="1" si="77"/>
        <v>255</v>
      </c>
      <c r="P241" s="2">
        <f t="shared" ca="1" si="78"/>
        <v>89399.91</v>
      </c>
      <c r="Q241" s="2">
        <f t="shared" ca="1" si="79"/>
        <v>-4395021</v>
      </c>
      <c r="R241" s="3">
        <f t="shared" ca="1" si="80"/>
        <v>48852.409836065577</v>
      </c>
      <c r="S241">
        <f t="shared" ca="1" si="81"/>
        <v>61</v>
      </c>
      <c r="T241" s="2">
        <f t="shared" ca="1" si="82"/>
        <v>7375018.5959335966</v>
      </c>
      <c r="U241" s="17">
        <f t="shared" si="85"/>
        <v>2025</v>
      </c>
      <c r="V241" s="20" t="str">
        <f t="shared" si="83"/>
        <v>Jan-2025</v>
      </c>
    </row>
    <row r="242" spans="1:22" x14ac:dyDescent="0.3">
      <c r="A242" t="str">
        <f t="shared" si="84"/>
        <v>TX-00242</v>
      </c>
      <c r="B242" s="6">
        <v>43697</v>
      </c>
      <c r="C242" t="str">
        <f t="shared" ca="1" si="67"/>
        <v>Commercial</v>
      </c>
      <c r="D242" s="1" t="str">
        <f t="shared" ca="1" si="68"/>
        <v>Laguna</v>
      </c>
      <c r="E242" s="1">
        <f t="shared" ref="E242:F261" ca="1" si="88">RANDBETWEEN(1,4)</f>
        <v>2</v>
      </c>
      <c r="F242" s="1">
        <f t="shared" ca="1" si="88"/>
        <v>1</v>
      </c>
      <c r="G242">
        <f t="shared" ca="1" si="69"/>
        <v>174</v>
      </c>
      <c r="H242">
        <f t="shared" ca="1" si="70"/>
        <v>84</v>
      </c>
      <c r="I242">
        <f t="shared" ca="1" si="71"/>
        <v>2022</v>
      </c>
      <c r="J242" s="2">
        <f t="shared" ca="1" si="72"/>
        <v>2729296</v>
      </c>
      <c r="K242" s="4">
        <f t="shared" ca="1" si="73"/>
        <v>12542453</v>
      </c>
      <c r="L242" t="str">
        <f t="shared" ca="1" si="74"/>
        <v>Mary Garcia</v>
      </c>
      <c r="M242" t="str">
        <f t="shared" ca="1" si="75"/>
        <v>Investor</v>
      </c>
      <c r="N242" t="str">
        <f t="shared" ca="1" si="76"/>
        <v>Bank Loan</v>
      </c>
      <c r="O242" s="1">
        <f t="shared" ca="1" si="77"/>
        <v>218</v>
      </c>
      <c r="P242" s="2">
        <f t="shared" ca="1" si="78"/>
        <v>376273.58999999997</v>
      </c>
      <c r="Q242" s="2">
        <f t="shared" ca="1" si="79"/>
        <v>9813157</v>
      </c>
      <c r="R242" s="3">
        <f t="shared" ca="1" si="80"/>
        <v>149314.91666666666</v>
      </c>
      <c r="S242">
        <f t="shared" ca="1" si="81"/>
        <v>84</v>
      </c>
      <c r="T242" s="2">
        <f t="shared" ca="1" si="82"/>
        <v>2729292.4045098075</v>
      </c>
      <c r="U242" s="17">
        <f t="shared" si="85"/>
        <v>2019</v>
      </c>
      <c r="V242" s="20" t="str">
        <f t="shared" si="83"/>
        <v>Aug-2019</v>
      </c>
    </row>
    <row r="243" spans="1:22" x14ac:dyDescent="0.3">
      <c r="A243" t="str">
        <f t="shared" si="84"/>
        <v>TX-00243</v>
      </c>
      <c r="B243" s="6">
        <v>45068</v>
      </c>
      <c r="C243" t="str">
        <f t="shared" ca="1" si="67"/>
        <v>House &amp; Lot</v>
      </c>
      <c r="D243" s="1" t="str">
        <f t="shared" ca="1" si="68"/>
        <v>Makati</v>
      </c>
      <c r="E243" s="1">
        <f t="shared" ca="1" si="88"/>
        <v>3</v>
      </c>
      <c r="F243" s="1">
        <f t="shared" ca="1" si="88"/>
        <v>1</v>
      </c>
      <c r="G243">
        <f t="shared" ca="1" si="69"/>
        <v>165</v>
      </c>
      <c r="H243">
        <f t="shared" ca="1" si="70"/>
        <v>137</v>
      </c>
      <c r="I243">
        <f t="shared" ca="1" si="71"/>
        <v>2014</v>
      </c>
      <c r="J243" s="2">
        <f t="shared" ca="1" si="72"/>
        <v>5493063</v>
      </c>
      <c r="K243" s="4">
        <f t="shared" ca="1" si="73"/>
        <v>1778467</v>
      </c>
      <c r="L243" t="str">
        <f t="shared" ca="1" si="74"/>
        <v>Rachel Villanueva</v>
      </c>
      <c r="M243" t="str">
        <f t="shared" ca="1" si="75"/>
        <v>Corporation</v>
      </c>
      <c r="N243" t="str">
        <f t="shared" ca="1" si="76"/>
        <v>Bank Loan</v>
      </c>
      <c r="O243" s="1">
        <f t="shared" ca="1" si="77"/>
        <v>334</v>
      </c>
      <c r="P243" s="2">
        <f t="shared" ca="1" si="78"/>
        <v>53354.009999999995</v>
      </c>
      <c r="Q243" s="2">
        <f t="shared" ca="1" si="79"/>
        <v>-3714596</v>
      </c>
      <c r="R243" s="3">
        <f t="shared" ca="1" si="80"/>
        <v>12981.51094890511</v>
      </c>
      <c r="S243">
        <f t="shared" ca="1" si="81"/>
        <v>137</v>
      </c>
      <c r="T243" s="2">
        <f t="shared" ca="1" si="82"/>
        <v>5493063.6762340069</v>
      </c>
      <c r="U243" s="17">
        <f t="shared" si="85"/>
        <v>2023</v>
      </c>
      <c r="V243" s="20" t="str">
        <f t="shared" si="83"/>
        <v>May-2023</v>
      </c>
    </row>
    <row r="244" spans="1:22" x14ac:dyDescent="0.3">
      <c r="A244" t="str">
        <f t="shared" si="84"/>
        <v>TX-00244</v>
      </c>
      <c r="B244" s="6">
        <v>45467</v>
      </c>
      <c r="C244" t="str">
        <f t="shared" ca="1" si="67"/>
        <v>Land</v>
      </c>
      <c r="D244" s="1" t="str">
        <f t="shared" ca="1" si="68"/>
        <v>Bulacan</v>
      </c>
      <c r="E244" s="1">
        <f t="shared" ca="1" si="88"/>
        <v>2</v>
      </c>
      <c r="F244" s="1">
        <f t="shared" ca="1" si="88"/>
        <v>3</v>
      </c>
      <c r="G244">
        <f t="shared" ca="1" si="69"/>
        <v>154</v>
      </c>
      <c r="H244">
        <f t="shared" ca="1" si="70"/>
        <v>240</v>
      </c>
      <c r="I244">
        <f t="shared" ca="1" si="71"/>
        <v>2011</v>
      </c>
      <c r="J244" s="2">
        <f t="shared" ca="1" si="72"/>
        <v>2787071</v>
      </c>
      <c r="K244" s="4">
        <f t="shared" ca="1" si="73"/>
        <v>8655725</v>
      </c>
      <c r="L244" t="str">
        <f t="shared" ca="1" si="74"/>
        <v>Rachel Villanueva</v>
      </c>
      <c r="M244" t="str">
        <f t="shared" ca="1" si="75"/>
        <v>Investor</v>
      </c>
      <c r="N244" t="str">
        <f t="shared" ca="1" si="76"/>
        <v>Bank Loan</v>
      </c>
      <c r="O244" s="1">
        <f t="shared" ca="1" si="77"/>
        <v>133</v>
      </c>
      <c r="P244" s="2">
        <f t="shared" ca="1" si="78"/>
        <v>259671.75</v>
      </c>
      <c r="Q244" s="2">
        <f t="shared" ca="1" si="79"/>
        <v>5868654</v>
      </c>
      <c r="R244" s="3">
        <f t="shared" ca="1" si="80"/>
        <v>36065.520833333336</v>
      </c>
      <c r="S244">
        <f t="shared" ca="1" si="81"/>
        <v>240</v>
      </c>
      <c r="T244" s="2">
        <f t="shared" ca="1" si="82"/>
        <v>2787068.8943292079</v>
      </c>
      <c r="U244" s="17">
        <f t="shared" si="85"/>
        <v>2024</v>
      </c>
      <c r="V244" s="20" t="str">
        <f t="shared" si="83"/>
        <v>Jun-2024</v>
      </c>
    </row>
    <row r="245" spans="1:22" x14ac:dyDescent="0.3">
      <c r="A245" t="str">
        <f t="shared" si="84"/>
        <v>TX-00245</v>
      </c>
      <c r="B245" s="6">
        <v>44556</v>
      </c>
      <c r="C245" t="str">
        <f t="shared" ca="1" si="67"/>
        <v>House &amp; Lot</v>
      </c>
      <c r="D245" s="1" t="str">
        <f t="shared" ca="1" si="68"/>
        <v>Laguna</v>
      </c>
      <c r="E245" s="1">
        <f t="shared" ca="1" si="88"/>
        <v>4</v>
      </c>
      <c r="F245" s="1">
        <f t="shared" ca="1" si="88"/>
        <v>4</v>
      </c>
      <c r="G245">
        <f t="shared" ca="1" si="69"/>
        <v>71</v>
      </c>
      <c r="H245">
        <f t="shared" ca="1" si="70"/>
        <v>107</v>
      </c>
      <c r="I245">
        <f t="shared" ca="1" si="71"/>
        <v>2018</v>
      </c>
      <c r="J245" s="2">
        <f t="shared" ca="1" si="72"/>
        <v>5924074</v>
      </c>
      <c r="K245" s="4">
        <f t="shared" ca="1" si="73"/>
        <v>1789436</v>
      </c>
      <c r="L245" t="str">
        <f t="shared" ca="1" si="74"/>
        <v>Mark Reyes</v>
      </c>
      <c r="M245" t="str">
        <f t="shared" ca="1" si="75"/>
        <v>OFW</v>
      </c>
      <c r="N245" t="str">
        <f t="shared" ca="1" si="76"/>
        <v>Cash</v>
      </c>
      <c r="O245" s="1">
        <f t="shared" ca="1" si="77"/>
        <v>396</v>
      </c>
      <c r="P245" s="2">
        <f t="shared" ca="1" si="78"/>
        <v>53683.079999999994</v>
      </c>
      <c r="Q245" s="2">
        <f t="shared" ca="1" si="79"/>
        <v>-4134638</v>
      </c>
      <c r="R245" s="3">
        <f t="shared" ca="1" si="80"/>
        <v>16723.700934579439</v>
      </c>
      <c r="S245">
        <f t="shared" ca="1" si="81"/>
        <v>107</v>
      </c>
      <c r="T245" s="2">
        <f t="shared" ca="1" si="82"/>
        <v>5924074.6979382774</v>
      </c>
      <c r="U245" s="17">
        <f t="shared" si="85"/>
        <v>2021</v>
      </c>
      <c r="V245" s="20" t="str">
        <f t="shared" si="83"/>
        <v>Dec-2021</v>
      </c>
    </row>
    <row r="246" spans="1:22" x14ac:dyDescent="0.3">
      <c r="A246" t="str">
        <f t="shared" si="84"/>
        <v>TX-00246</v>
      </c>
      <c r="B246" s="6">
        <v>43332</v>
      </c>
      <c r="C246" t="str">
        <f t="shared" ca="1" si="67"/>
        <v>Commercial</v>
      </c>
      <c r="D246" s="1" t="str">
        <f t="shared" ca="1" si="68"/>
        <v>Makati</v>
      </c>
      <c r="E246" s="1">
        <f t="shared" ca="1" si="88"/>
        <v>2</v>
      </c>
      <c r="F246" s="1">
        <f t="shared" ca="1" si="88"/>
        <v>3</v>
      </c>
      <c r="G246">
        <f t="shared" ca="1" si="69"/>
        <v>183</v>
      </c>
      <c r="H246">
        <f t="shared" ca="1" si="70"/>
        <v>163</v>
      </c>
      <c r="I246">
        <f t="shared" ca="1" si="71"/>
        <v>2012</v>
      </c>
      <c r="J246" s="2">
        <f t="shared" ca="1" si="72"/>
        <v>11712445</v>
      </c>
      <c r="K246" s="4">
        <f t="shared" ca="1" si="73"/>
        <v>1646062</v>
      </c>
      <c r="L246" t="str">
        <f t="shared" ca="1" si="74"/>
        <v>Daniel Cruz</v>
      </c>
      <c r="M246" t="str">
        <f t="shared" ca="1" si="75"/>
        <v>Individual</v>
      </c>
      <c r="N246" t="str">
        <f t="shared" ca="1" si="76"/>
        <v>Installment</v>
      </c>
      <c r="O246" s="1">
        <f t="shared" ca="1" si="77"/>
        <v>121</v>
      </c>
      <c r="P246" s="2">
        <f t="shared" ca="1" si="78"/>
        <v>49381.86</v>
      </c>
      <c r="Q246" s="2">
        <f t="shared" ca="1" si="79"/>
        <v>-10066383</v>
      </c>
      <c r="R246" s="3">
        <f t="shared" ca="1" si="80"/>
        <v>10098.539877300613</v>
      </c>
      <c r="S246">
        <f t="shared" ca="1" si="81"/>
        <v>163</v>
      </c>
      <c r="T246" s="2">
        <f t="shared" ca="1" si="82"/>
        <v>11712445.859460428</v>
      </c>
      <c r="U246" s="17">
        <f t="shared" si="85"/>
        <v>2018</v>
      </c>
      <c r="V246" s="20" t="str">
        <f t="shared" si="83"/>
        <v>Aug-2018</v>
      </c>
    </row>
    <row r="247" spans="1:22" x14ac:dyDescent="0.3">
      <c r="A247" t="str">
        <f t="shared" si="84"/>
        <v>TX-00247</v>
      </c>
      <c r="B247" s="6">
        <v>45282</v>
      </c>
      <c r="C247" t="str">
        <f t="shared" ca="1" si="67"/>
        <v>Commercial</v>
      </c>
      <c r="D247" s="1" t="str">
        <f t="shared" ca="1" si="68"/>
        <v>Cavite</v>
      </c>
      <c r="E247" s="1">
        <f t="shared" ca="1" si="88"/>
        <v>1</v>
      </c>
      <c r="F247" s="1">
        <f t="shared" ca="1" si="88"/>
        <v>3</v>
      </c>
      <c r="G247">
        <f t="shared" ca="1" si="69"/>
        <v>146</v>
      </c>
      <c r="H247">
        <f t="shared" ca="1" si="70"/>
        <v>165</v>
      </c>
      <c r="I247">
        <f t="shared" ca="1" si="71"/>
        <v>2013</v>
      </c>
      <c r="J247" s="2">
        <f t="shared" ca="1" si="72"/>
        <v>4223143</v>
      </c>
      <c r="K247" s="4">
        <f t="shared" ca="1" si="73"/>
        <v>1870667</v>
      </c>
      <c r="L247" t="str">
        <f t="shared" ca="1" si="74"/>
        <v>John Dela Cruz</v>
      </c>
      <c r="M247" t="str">
        <f t="shared" ca="1" si="75"/>
        <v>OFW</v>
      </c>
      <c r="N247" t="str">
        <f t="shared" ca="1" si="76"/>
        <v>Installment</v>
      </c>
      <c r="O247" s="1">
        <f t="shared" ca="1" si="77"/>
        <v>121</v>
      </c>
      <c r="P247" s="2">
        <f t="shared" ca="1" si="78"/>
        <v>56120.009999999995</v>
      </c>
      <c r="Q247" s="2">
        <f t="shared" ca="1" si="79"/>
        <v>-2352476</v>
      </c>
      <c r="R247" s="3">
        <f t="shared" ca="1" si="80"/>
        <v>11337.375757575757</v>
      </c>
      <c r="S247">
        <f t="shared" ca="1" si="81"/>
        <v>165</v>
      </c>
      <c r="T247" s="2">
        <f t="shared" ca="1" si="82"/>
        <v>4223143.5570438886</v>
      </c>
      <c r="U247" s="17">
        <f t="shared" si="85"/>
        <v>2023</v>
      </c>
      <c r="V247" s="20" t="str">
        <f t="shared" si="83"/>
        <v>Dec-2023</v>
      </c>
    </row>
    <row r="248" spans="1:22" x14ac:dyDescent="0.3">
      <c r="A248" t="str">
        <f t="shared" si="84"/>
        <v>TX-00248</v>
      </c>
      <c r="B248" s="6">
        <v>44359</v>
      </c>
      <c r="C248" t="str">
        <f t="shared" ca="1" si="67"/>
        <v>Commercial</v>
      </c>
      <c r="D248" s="1" t="str">
        <f t="shared" ca="1" si="68"/>
        <v>Cavite</v>
      </c>
      <c r="E248" s="1">
        <f t="shared" ca="1" si="88"/>
        <v>2</v>
      </c>
      <c r="F248" s="1">
        <f t="shared" ca="1" si="88"/>
        <v>1</v>
      </c>
      <c r="G248">
        <f t="shared" ca="1" si="69"/>
        <v>120</v>
      </c>
      <c r="H248">
        <f t="shared" ca="1" si="70"/>
        <v>192</v>
      </c>
      <c r="I248">
        <f t="shared" ca="1" si="71"/>
        <v>2022</v>
      </c>
      <c r="J248" s="2">
        <f t="shared" ca="1" si="72"/>
        <v>14917176</v>
      </c>
      <c r="K248" s="4">
        <f t="shared" ca="1" si="73"/>
        <v>9092192</v>
      </c>
      <c r="L248" t="str">
        <f t="shared" ca="1" si="74"/>
        <v>Michael Santos</v>
      </c>
      <c r="M248" t="str">
        <f t="shared" ca="1" si="75"/>
        <v>Investor</v>
      </c>
      <c r="N248" t="str">
        <f t="shared" ca="1" si="76"/>
        <v>Installment</v>
      </c>
      <c r="O248" s="1">
        <f t="shared" ca="1" si="77"/>
        <v>126</v>
      </c>
      <c r="P248" s="2">
        <f t="shared" ca="1" si="78"/>
        <v>272765.76</v>
      </c>
      <c r="Q248" s="2">
        <f t="shared" ca="1" si="79"/>
        <v>-5824984</v>
      </c>
      <c r="R248" s="3">
        <f t="shared" ca="1" si="80"/>
        <v>47355.166666666664</v>
      </c>
      <c r="S248">
        <f t="shared" ca="1" si="81"/>
        <v>192</v>
      </c>
      <c r="T248" s="2">
        <f t="shared" ca="1" si="82"/>
        <v>14917176.390488388</v>
      </c>
      <c r="U248" s="17">
        <f t="shared" si="85"/>
        <v>2021</v>
      </c>
      <c r="V248" s="20" t="str">
        <f t="shared" si="83"/>
        <v>Jun-2021</v>
      </c>
    </row>
    <row r="249" spans="1:22" x14ac:dyDescent="0.3">
      <c r="A249" t="str">
        <f t="shared" si="84"/>
        <v>TX-00249</v>
      </c>
      <c r="B249" s="6">
        <v>43989</v>
      </c>
      <c r="C249" t="str">
        <f t="shared" ca="1" si="67"/>
        <v>House &amp; Lot</v>
      </c>
      <c r="D249" s="1" t="str">
        <f t="shared" ca="1" si="68"/>
        <v>Laguna</v>
      </c>
      <c r="E249" s="1">
        <f t="shared" ca="1" si="88"/>
        <v>3</v>
      </c>
      <c r="F249" s="1">
        <f t="shared" ca="1" si="88"/>
        <v>1</v>
      </c>
      <c r="G249">
        <f t="shared" ca="1" si="69"/>
        <v>141</v>
      </c>
      <c r="H249">
        <f t="shared" ca="1" si="70"/>
        <v>118</v>
      </c>
      <c r="I249">
        <f t="shared" ca="1" si="71"/>
        <v>2011</v>
      </c>
      <c r="J249" s="2">
        <f t="shared" ca="1" si="72"/>
        <v>10810098</v>
      </c>
      <c r="K249" s="4">
        <f t="shared" ca="1" si="73"/>
        <v>2948860</v>
      </c>
      <c r="L249" t="str">
        <f t="shared" ca="1" si="74"/>
        <v>Michael Santos</v>
      </c>
      <c r="M249" t="str">
        <f t="shared" ca="1" si="75"/>
        <v>Corporation</v>
      </c>
      <c r="N249" t="str">
        <f t="shared" ca="1" si="76"/>
        <v>Installment</v>
      </c>
      <c r="O249" s="1">
        <f t="shared" ca="1" si="77"/>
        <v>400</v>
      </c>
      <c r="P249" s="2">
        <f t="shared" ca="1" si="78"/>
        <v>88465.8</v>
      </c>
      <c r="Q249" s="2">
        <f t="shared" ca="1" si="79"/>
        <v>-7861238</v>
      </c>
      <c r="R249" s="3">
        <f t="shared" ca="1" si="80"/>
        <v>24990.338983050846</v>
      </c>
      <c r="S249">
        <f t="shared" ca="1" si="81"/>
        <v>118</v>
      </c>
      <c r="T249" s="2">
        <f t="shared" ca="1" si="82"/>
        <v>10810098.727212464</v>
      </c>
      <c r="U249" s="17">
        <f t="shared" si="85"/>
        <v>2020</v>
      </c>
      <c r="V249" s="20" t="str">
        <f t="shared" si="83"/>
        <v>Jun-2020</v>
      </c>
    </row>
    <row r="250" spans="1:22" x14ac:dyDescent="0.3">
      <c r="A250" t="str">
        <f t="shared" si="84"/>
        <v>TX-00250</v>
      </c>
      <c r="B250" s="6">
        <v>44699</v>
      </c>
      <c r="C250" t="str">
        <f t="shared" ca="1" si="67"/>
        <v>Land</v>
      </c>
      <c r="D250" s="1" t="str">
        <f t="shared" ca="1" si="68"/>
        <v>Bulacan</v>
      </c>
      <c r="E250" s="1">
        <f t="shared" ca="1" si="88"/>
        <v>1</v>
      </c>
      <c r="F250" s="1">
        <f t="shared" ca="1" si="88"/>
        <v>3</v>
      </c>
      <c r="G250">
        <f t="shared" ca="1" si="69"/>
        <v>156</v>
      </c>
      <c r="H250">
        <f t="shared" ca="1" si="70"/>
        <v>52</v>
      </c>
      <c r="I250">
        <f t="shared" ca="1" si="71"/>
        <v>2012</v>
      </c>
      <c r="J250" s="2">
        <f t="shared" ca="1" si="72"/>
        <v>10743371</v>
      </c>
      <c r="K250" s="4">
        <f t="shared" ca="1" si="73"/>
        <v>12679770</v>
      </c>
      <c r="L250" t="str">
        <f t="shared" ca="1" si="74"/>
        <v>Mary Garcia</v>
      </c>
      <c r="M250" t="str">
        <f t="shared" ca="1" si="75"/>
        <v>OFW</v>
      </c>
      <c r="N250" t="str">
        <f t="shared" ca="1" si="76"/>
        <v>Installment</v>
      </c>
      <c r="O250" s="1">
        <f t="shared" ca="1" si="77"/>
        <v>338</v>
      </c>
      <c r="P250" s="2">
        <f t="shared" ca="1" si="78"/>
        <v>380393.1</v>
      </c>
      <c r="Q250" s="2">
        <f t="shared" ca="1" si="79"/>
        <v>1936399</v>
      </c>
      <c r="R250" s="3">
        <f t="shared" ca="1" si="80"/>
        <v>243841.73076923078</v>
      </c>
      <c r="S250">
        <f t="shared" ca="1" si="81"/>
        <v>52</v>
      </c>
      <c r="T250" s="2">
        <f t="shared" ca="1" si="82"/>
        <v>10743370.819758715</v>
      </c>
      <c r="U250" s="17">
        <f t="shared" si="85"/>
        <v>2022</v>
      </c>
      <c r="V250" s="20" t="str">
        <f t="shared" si="83"/>
        <v>May-2022</v>
      </c>
    </row>
    <row r="251" spans="1:22" x14ac:dyDescent="0.3">
      <c r="A251" t="str">
        <f t="shared" si="84"/>
        <v>TX-00251</v>
      </c>
      <c r="B251" s="6">
        <v>45976</v>
      </c>
      <c r="C251" t="str">
        <f t="shared" ca="1" si="67"/>
        <v>Commercial</v>
      </c>
      <c r="D251" s="1" t="str">
        <f t="shared" ca="1" si="68"/>
        <v>Laguna</v>
      </c>
      <c r="E251" s="1">
        <f t="shared" ca="1" si="88"/>
        <v>1</v>
      </c>
      <c r="F251" s="1">
        <f t="shared" ca="1" si="88"/>
        <v>2</v>
      </c>
      <c r="G251">
        <f t="shared" ca="1" si="69"/>
        <v>41</v>
      </c>
      <c r="H251">
        <f t="shared" ca="1" si="70"/>
        <v>97</v>
      </c>
      <c r="I251">
        <f t="shared" ca="1" si="71"/>
        <v>2012</v>
      </c>
      <c r="J251" s="2">
        <f t="shared" ca="1" si="72"/>
        <v>12336602</v>
      </c>
      <c r="K251" s="4">
        <f t="shared" ca="1" si="73"/>
        <v>9743908</v>
      </c>
      <c r="L251" t="str">
        <f t="shared" ca="1" si="74"/>
        <v>Joy Ramos</v>
      </c>
      <c r="M251" t="str">
        <f t="shared" ca="1" si="75"/>
        <v>Investor</v>
      </c>
      <c r="N251" t="str">
        <f t="shared" ca="1" si="76"/>
        <v>Cash</v>
      </c>
      <c r="O251" s="1">
        <f t="shared" ca="1" si="77"/>
        <v>224</v>
      </c>
      <c r="P251" s="2">
        <f t="shared" ca="1" si="78"/>
        <v>292317.24</v>
      </c>
      <c r="Q251" s="2">
        <f t="shared" ca="1" si="79"/>
        <v>-2592694</v>
      </c>
      <c r="R251" s="3">
        <f t="shared" ca="1" si="80"/>
        <v>100452.65979381443</v>
      </c>
      <c r="S251">
        <f t="shared" ca="1" si="81"/>
        <v>97</v>
      </c>
      <c r="T251" s="2">
        <f t="shared" ca="1" si="82"/>
        <v>12336602.210162733</v>
      </c>
      <c r="U251" s="17">
        <f t="shared" si="85"/>
        <v>2025</v>
      </c>
      <c r="V251" s="20" t="str">
        <f t="shared" si="83"/>
        <v>Nov-2025</v>
      </c>
    </row>
    <row r="252" spans="1:22" x14ac:dyDescent="0.3">
      <c r="A252" t="str">
        <f t="shared" si="84"/>
        <v>TX-00252</v>
      </c>
      <c r="B252" s="6">
        <v>44770</v>
      </c>
      <c r="C252" t="str">
        <f t="shared" ca="1" si="67"/>
        <v>Condo</v>
      </c>
      <c r="D252" s="1" t="str">
        <f t="shared" ca="1" si="68"/>
        <v>Makati</v>
      </c>
      <c r="E252" s="1">
        <f t="shared" ca="1" si="88"/>
        <v>2</v>
      </c>
      <c r="F252" s="1">
        <f t="shared" ca="1" si="88"/>
        <v>4</v>
      </c>
      <c r="G252">
        <f t="shared" ca="1" si="69"/>
        <v>109</v>
      </c>
      <c r="H252">
        <f t="shared" ca="1" si="70"/>
        <v>114</v>
      </c>
      <c r="I252">
        <f t="shared" ca="1" si="71"/>
        <v>2012</v>
      </c>
      <c r="J252" s="2">
        <f t="shared" ca="1" si="72"/>
        <v>7056985</v>
      </c>
      <c r="K252" s="4">
        <f t="shared" ca="1" si="73"/>
        <v>12847577</v>
      </c>
      <c r="L252" t="str">
        <f t="shared" ca="1" si="74"/>
        <v>Daniel Cruz</v>
      </c>
      <c r="M252" t="str">
        <f t="shared" ca="1" si="75"/>
        <v>Investor</v>
      </c>
      <c r="N252" t="str">
        <f t="shared" ca="1" si="76"/>
        <v>Cash</v>
      </c>
      <c r="O252" s="1">
        <f t="shared" ca="1" si="77"/>
        <v>197</v>
      </c>
      <c r="P252" s="2">
        <f t="shared" ca="1" si="78"/>
        <v>385427.31</v>
      </c>
      <c r="Q252" s="2">
        <f t="shared" ca="1" si="79"/>
        <v>5790592</v>
      </c>
      <c r="R252" s="3">
        <f t="shared" ca="1" si="80"/>
        <v>117867.67889908257</v>
      </c>
      <c r="S252">
        <f t="shared" ca="1" si="81"/>
        <v>109</v>
      </c>
      <c r="T252" s="2">
        <f t="shared" ca="1" si="82"/>
        <v>7056984.1794524146</v>
      </c>
      <c r="U252" s="17">
        <f t="shared" si="85"/>
        <v>2022</v>
      </c>
      <c r="V252" s="20" t="str">
        <f t="shared" si="83"/>
        <v>Jul-2022</v>
      </c>
    </row>
    <row r="253" spans="1:22" x14ac:dyDescent="0.3">
      <c r="A253" t="str">
        <f t="shared" si="84"/>
        <v>TX-00253</v>
      </c>
      <c r="B253" s="6">
        <v>45811</v>
      </c>
      <c r="C253" t="str">
        <f t="shared" ca="1" si="67"/>
        <v>House &amp; Lot</v>
      </c>
      <c r="D253" s="1" t="str">
        <f t="shared" ca="1" si="68"/>
        <v>Cavite</v>
      </c>
      <c r="E253" s="1">
        <f t="shared" ca="1" si="88"/>
        <v>4</v>
      </c>
      <c r="F253" s="1">
        <f t="shared" ca="1" si="88"/>
        <v>3</v>
      </c>
      <c r="G253">
        <f t="shared" ca="1" si="69"/>
        <v>92</v>
      </c>
      <c r="H253">
        <f t="shared" ca="1" si="70"/>
        <v>80</v>
      </c>
      <c r="I253">
        <f t="shared" ca="1" si="71"/>
        <v>2013</v>
      </c>
      <c r="J253" s="2">
        <f t="shared" ca="1" si="72"/>
        <v>3193358</v>
      </c>
      <c r="K253" s="4">
        <f t="shared" ca="1" si="73"/>
        <v>8231801</v>
      </c>
      <c r="L253" t="str">
        <f t="shared" ca="1" si="74"/>
        <v>Mark Reyes</v>
      </c>
      <c r="M253" t="str">
        <f t="shared" ca="1" si="75"/>
        <v>Corporation</v>
      </c>
      <c r="N253" t="str">
        <f t="shared" ca="1" si="76"/>
        <v>Pag-IBIG Loan</v>
      </c>
      <c r="O253" s="1">
        <f t="shared" ca="1" si="77"/>
        <v>126</v>
      </c>
      <c r="P253" s="2">
        <f t="shared" ca="1" si="78"/>
        <v>246954.03</v>
      </c>
      <c r="Q253" s="2">
        <f t="shared" ca="1" si="79"/>
        <v>5038443</v>
      </c>
      <c r="R253" s="3">
        <f t="shared" ca="1" si="80"/>
        <v>102897.5125</v>
      </c>
      <c r="S253">
        <f t="shared" ca="1" si="81"/>
        <v>80</v>
      </c>
      <c r="T253" s="2">
        <f t="shared" ca="1" si="82"/>
        <v>3193356.4222116657</v>
      </c>
      <c r="U253" s="17">
        <f t="shared" si="85"/>
        <v>2025</v>
      </c>
      <c r="V253" s="20" t="str">
        <f t="shared" si="83"/>
        <v>Jun-2025</v>
      </c>
    </row>
    <row r="254" spans="1:22" x14ac:dyDescent="0.3">
      <c r="A254" t="str">
        <f t="shared" si="84"/>
        <v>TX-00254</v>
      </c>
      <c r="B254" s="6">
        <v>44461</v>
      </c>
      <c r="C254" t="str">
        <f t="shared" ca="1" si="67"/>
        <v>House &amp; Lot</v>
      </c>
      <c r="D254" s="1" t="str">
        <f t="shared" ca="1" si="68"/>
        <v>Bulacan</v>
      </c>
      <c r="E254" s="1">
        <f t="shared" ca="1" si="88"/>
        <v>3</v>
      </c>
      <c r="F254" s="1">
        <f t="shared" ca="1" si="88"/>
        <v>2</v>
      </c>
      <c r="G254">
        <f t="shared" ca="1" si="69"/>
        <v>90</v>
      </c>
      <c r="H254">
        <f t="shared" ca="1" si="70"/>
        <v>63</v>
      </c>
      <c r="I254">
        <f t="shared" ca="1" si="71"/>
        <v>2016</v>
      </c>
      <c r="J254" s="2">
        <f t="shared" ca="1" si="72"/>
        <v>14810335</v>
      </c>
      <c r="K254" s="4">
        <f t="shared" ca="1" si="73"/>
        <v>8095997</v>
      </c>
      <c r="L254" t="str">
        <f t="shared" ca="1" si="74"/>
        <v>Mary Garcia</v>
      </c>
      <c r="M254" t="str">
        <f t="shared" ca="1" si="75"/>
        <v>Individual</v>
      </c>
      <c r="N254" t="str">
        <f t="shared" ca="1" si="76"/>
        <v>Cash</v>
      </c>
      <c r="O254" s="1">
        <f t="shared" ca="1" si="77"/>
        <v>127</v>
      </c>
      <c r="P254" s="2">
        <f t="shared" ca="1" si="78"/>
        <v>242879.91</v>
      </c>
      <c r="Q254" s="2">
        <f t="shared" ca="1" si="79"/>
        <v>-6714338</v>
      </c>
      <c r="R254" s="3">
        <f t="shared" ca="1" si="80"/>
        <v>128507.88888888889</v>
      </c>
      <c r="S254">
        <f t="shared" ca="1" si="81"/>
        <v>63</v>
      </c>
      <c r="T254" s="2">
        <f t="shared" ca="1" si="82"/>
        <v>14810335.453354904</v>
      </c>
      <c r="U254" s="17">
        <f t="shared" si="85"/>
        <v>2021</v>
      </c>
      <c r="V254" s="20" t="str">
        <f t="shared" si="83"/>
        <v>Sep-2021</v>
      </c>
    </row>
    <row r="255" spans="1:22" x14ac:dyDescent="0.3">
      <c r="A255" t="str">
        <f t="shared" si="84"/>
        <v>TX-00255</v>
      </c>
      <c r="B255" s="6">
        <v>43980</v>
      </c>
      <c r="C255" t="str">
        <f t="shared" ca="1" si="67"/>
        <v>Land</v>
      </c>
      <c r="D255" s="1" t="str">
        <f t="shared" ca="1" si="68"/>
        <v>Cavite</v>
      </c>
      <c r="E255" s="1">
        <f t="shared" ca="1" si="88"/>
        <v>2</v>
      </c>
      <c r="F255" s="1">
        <f t="shared" ca="1" si="88"/>
        <v>4</v>
      </c>
      <c r="G255">
        <f t="shared" ca="1" si="69"/>
        <v>157</v>
      </c>
      <c r="H255">
        <f t="shared" ca="1" si="70"/>
        <v>129</v>
      </c>
      <c r="I255">
        <f t="shared" ca="1" si="71"/>
        <v>2021</v>
      </c>
      <c r="J255" s="2">
        <f t="shared" ca="1" si="72"/>
        <v>14421520</v>
      </c>
      <c r="K255" s="4">
        <f t="shared" ca="1" si="73"/>
        <v>7913368</v>
      </c>
      <c r="L255" t="str">
        <f t="shared" ca="1" si="74"/>
        <v>Rachel Villanueva</v>
      </c>
      <c r="M255" t="str">
        <f t="shared" ca="1" si="75"/>
        <v>Individual</v>
      </c>
      <c r="N255" t="str">
        <f t="shared" ca="1" si="76"/>
        <v>Bank Loan</v>
      </c>
      <c r="O255" s="1">
        <f t="shared" ca="1" si="77"/>
        <v>141</v>
      </c>
      <c r="P255" s="2">
        <f t="shared" ca="1" si="78"/>
        <v>237401.03999999998</v>
      </c>
      <c r="Q255" s="2">
        <f t="shared" ca="1" si="79"/>
        <v>-6508152</v>
      </c>
      <c r="R255" s="3">
        <f t="shared" ca="1" si="80"/>
        <v>61343.937984496122</v>
      </c>
      <c r="S255">
        <f t="shared" ca="1" si="81"/>
        <v>129</v>
      </c>
      <c r="T255" s="2">
        <f t="shared" ca="1" si="82"/>
        <v>14421520.451280586</v>
      </c>
      <c r="U255" s="17">
        <f t="shared" si="85"/>
        <v>2020</v>
      </c>
      <c r="V255" s="20" t="str">
        <f t="shared" si="83"/>
        <v>May-2020</v>
      </c>
    </row>
    <row r="256" spans="1:22" x14ac:dyDescent="0.3">
      <c r="A256" t="str">
        <f t="shared" si="84"/>
        <v>TX-00256</v>
      </c>
      <c r="B256" s="6">
        <v>44942</v>
      </c>
      <c r="C256" t="str">
        <f t="shared" ca="1" si="67"/>
        <v>Commercial</v>
      </c>
      <c r="D256" s="1" t="str">
        <f t="shared" ca="1" si="68"/>
        <v>Cavite</v>
      </c>
      <c r="E256" s="1">
        <f t="shared" ca="1" si="88"/>
        <v>4</v>
      </c>
      <c r="F256" s="1">
        <f t="shared" ca="1" si="88"/>
        <v>3</v>
      </c>
      <c r="G256">
        <f t="shared" ca="1" si="69"/>
        <v>81</v>
      </c>
      <c r="H256">
        <f t="shared" ca="1" si="70"/>
        <v>127</v>
      </c>
      <c r="I256">
        <f t="shared" ca="1" si="71"/>
        <v>2011</v>
      </c>
      <c r="J256" s="2">
        <f t="shared" ca="1" si="72"/>
        <v>7008651</v>
      </c>
      <c r="K256" s="4">
        <f t="shared" ca="1" si="73"/>
        <v>7880323</v>
      </c>
      <c r="L256" t="str">
        <f t="shared" ca="1" si="74"/>
        <v>Rachel Villanueva</v>
      </c>
      <c r="M256" t="str">
        <f t="shared" ca="1" si="75"/>
        <v>Investor</v>
      </c>
      <c r="N256" t="str">
        <f t="shared" ca="1" si="76"/>
        <v>Installment</v>
      </c>
      <c r="O256" s="1">
        <f t="shared" ca="1" si="77"/>
        <v>178</v>
      </c>
      <c r="P256" s="2">
        <f t="shared" ca="1" si="78"/>
        <v>236409.69</v>
      </c>
      <c r="Q256" s="2">
        <f t="shared" ca="1" si="79"/>
        <v>871672</v>
      </c>
      <c r="R256" s="3">
        <f t="shared" ca="1" si="80"/>
        <v>62049.787401574802</v>
      </c>
      <c r="S256">
        <f t="shared" ca="1" si="81"/>
        <v>127</v>
      </c>
      <c r="T256" s="2">
        <f t="shared" ca="1" si="82"/>
        <v>7008650.8756291335</v>
      </c>
      <c r="U256" s="17">
        <f t="shared" si="85"/>
        <v>2023</v>
      </c>
      <c r="V256" s="20" t="str">
        <f t="shared" si="83"/>
        <v>Jan-2023</v>
      </c>
    </row>
    <row r="257" spans="1:22" x14ac:dyDescent="0.3">
      <c r="A257" t="str">
        <f t="shared" si="84"/>
        <v>TX-00257</v>
      </c>
      <c r="B257" s="6">
        <v>46035</v>
      </c>
      <c r="C257" t="str">
        <f t="shared" ca="1" si="67"/>
        <v>House &amp; Lot</v>
      </c>
      <c r="D257" s="1" t="str">
        <f t="shared" ca="1" si="68"/>
        <v>Makati</v>
      </c>
      <c r="E257" s="1">
        <f t="shared" ca="1" si="88"/>
        <v>2</v>
      </c>
      <c r="F257" s="1">
        <f t="shared" ca="1" si="88"/>
        <v>3</v>
      </c>
      <c r="G257">
        <f t="shared" ca="1" si="69"/>
        <v>184</v>
      </c>
      <c r="H257">
        <f t="shared" ca="1" si="70"/>
        <v>220</v>
      </c>
      <c r="I257">
        <f t="shared" ca="1" si="71"/>
        <v>2017</v>
      </c>
      <c r="J257" s="2">
        <f t="shared" ca="1" si="72"/>
        <v>2115067</v>
      </c>
      <c r="K257" s="4">
        <f t="shared" ca="1" si="73"/>
        <v>8282529</v>
      </c>
      <c r="L257" t="str">
        <f t="shared" ca="1" si="74"/>
        <v>Daniel Cruz</v>
      </c>
      <c r="M257" t="str">
        <f t="shared" ca="1" si="75"/>
        <v>OFW</v>
      </c>
      <c r="N257" t="str">
        <f t="shared" ca="1" si="76"/>
        <v>Pag-IBIG Loan</v>
      </c>
      <c r="O257" s="1">
        <f t="shared" ca="1" si="77"/>
        <v>265</v>
      </c>
      <c r="P257" s="2">
        <f t="shared" ca="1" si="78"/>
        <v>248475.87</v>
      </c>
      <c r="Q257" s="2">
        <f t="shared" ca="1" si="79"/>
        <v>6167462</v>
      </c>
      <c r="R257" s="3">
        <f t="shared" ca="1" si="80"/>
        <v>37647.859090909093</v>
      </c>
      <c r="S257">
        <f t="shared" ca="1" si="81"/>
        <v>220</v>
      </c>
      <c r="T257" s="2">
        <f t="shared" ca="1" si="82"/>
        <v>2115064.0840346902</v>
      </c>
      <c r="U257" s="17">
        <f t="shared" si="85"/>
        <v>2026</v>
      </c>
      <c r="V257" s="20" t="str">
        <f t="shared" si="83"/>
        <v>Jan-2026</v>
      </c>
    </row>
    <row r="258" spans="1:22" x14ac:dyDescent="0.3">
      <c r="A258" t="str">
        <f t="shared" si="84"/>
        <v>TX-00258</v>
      </c>
      <c r="B258" s="6">
        <v>43191</v>
      </c>
      <c r="C258" t="str">
        <f t="shared" ref="C258:C321" ca="1" si="89">CHOOSE(RANDBETWEEN(1,4),"Condo","House &amp; Lot","Commercial","Land")</f>
        <v>Land</v>
      </c>
      <c r="D258" s="1" t="str">
        <f t="shared" ref="D258:D321" ca="1" si="90">CHOOSE(RANDBETWEEN(1,4),"Laguna","Makati","Cavite","Bulacan")</f>
        <v>Cavite</v>
      </c>
      <c r="E258" s="1">
        <f t="shared" ca="1" si="88"/>
        <v>4</v>
      </c>
      <c r="F258" s="1">
        <f t="shared" ca="1" si="88"/>
        <v>4</v>
      </c>
      <c r="G258">
        <f t="shared" ref="G258:G321" ca="1" si="91">RANDBETWEEN(40,200)</f>
        <v>91</v>
      </c>
      <c r="H258">
        <f t="shared" ref="H258:H321" ca="1" si="92">RANDBETWEEN(50,250)</f>
        <v>218</v>
      </c>
      <c r="I258">
        <f t="shared" ref="I258:I321" ca="1" si="93">RANDBETWEEN(2010,2023)</f>
        <v>2013</v>
      </c>
      <c r="J258" s="2">
        <f t="shared" ref="J258:J321" ca="1" si="94">RANDBETWEEN(2000000,15000000)</f>
        <v>12307312</v>
      </c>
      <c r="K258" s="4">
        <f t="shared" ref="K258:K321" ca="1" si="95">RANDBETWEEN(1500000,13000000)</f>
        <v>4204965</v>
      </c>
      <c r="L258" t="str">
        <f t="shared" ref="L258:L321" ca="1" si="96">CHOOSE(RANDBETWEEN(1,9),"John Dela Cruz", "Michael Santos", "Mark Reyes", "Daniel Cruz", "Mary Garcia","Anna Mendoza", "Michelle Flores", "Rachel Villanueva", "Joy Ramos")</f>
        <v>Rachel Villanueva</v>
      </c>
      <c r="M258" t="str">
        <f t="shared" ref="M258:M321" ca="1" si="97">CHOOSE(RANDBETWEEN(1,4),"Individual", "Corporation", "OFW", "Investor")</f>
        <v>OFW</v>
      </c>
      <c r="N258" t="str">
        <f t="shared" ref="N258:N321" ca="1" si="98">CHOOSE(RANDBETWEEN(1,4),"Cash", "Bank Loan", "Pag-IBIG Loan", "Installment")</f>
        <v>Cash</v>
      </c>
      <c r="O258" s="1">
        <f t="shared" ref="O258:O321" ca="1" si="99">RANDBETWEEN(100,400)</f>
        <v>259</v>
      </c>
      <c r="P258" s="2">
        <f t="shared" ref="P258:P321" ca="1" si="100">SUM(K258*0.03)</f>
        <v>126148.95</v>
      </c>
      <c r="Q258" s="2">
        <f t="shared" ref="Q258:Q321" ca="1" si="101">SUM(K258-J258)</f>
        <v>-8102347</v>
      </c>
      <c r="R258" s="3">
        <f t="shared" ref="R258:R321" ca="1" si="102">SUM(K258/S258)</f>
        <v>19288.830275229357</v>
      </c>
      <c r="S258">
        <f t="shared" ref="S258:S321" ca="1" si="103">IF(C258="Condo", G258,H258)</f>
        <v>218</v>
      </c>
      <c r="T258" s="2">
        <f t="shared" ref="T258:T321" ca="1" si="104">SUM(J258-Q258/J258)</f>
        <v>12307312.658336036</v>
      </c>
      <c r="U258" s="17">
        <f t="shared" si="85"/>
        <v>2018</v>
      </c>
      <c r="V258" s="20" t="str">
        <f t="shared" ref="V258:V321" si="105">TEXT(B258,"mmm-yyyy")</f>
        <v>Apr-2018</v>
      </c>
    </row>
    <row r="259" spans="1:22" x14ac:dyDescent="0.3">
      <c r="A259" t="str">
        <f t="shared" ref="A259:A322" si="106">"TX-" &amp; TEXT(ROW(),"00000")</f>
        <v>TX-00259</v>
      </c>
      <c r="B259" s="6">
        <v>45761</v>
      </c>
      <c r="C259" t="str">
        <f t="shared" ca="1" si="89"/>
        <v>Condo</v>
      </c>
      <c r="D259" s="1" t="str">
        <f t="shared" ca="1" si="90"/>
        <v>Laguna</v>
      </c>
      <c r="E259" s="1">
        <f t="shared" ca="1" si="88"/>
        <v>4</v>
      </c>
      <c r="F259" s="1">
        <f t="shared" ca="1" si="88"/>
        <v>3</v>
      </c>
      <c r="G259">
        <f t="shared" ca="1" si="91"/>
        <v>124</v>
      </c>
      <c r="H259">
        <f t="shared" ca="1" si="92"/>
        <v>145</v>
      </c>
      <c r="I259">
        <f t="shared" ca="1" si="93"/>
        <v>2014</v>
      </c>
      <c r="J259" s="2">
        <f t="shared" ca="1" si="94"/>
        <v>9887061</v>
      </c>
      <c r="K259" s="4">
        <f t="shared" ca="1" si="95"/>
        <v>8416175</v>
      </c>
      <c r="L259" t="str">
        <f t="shared" ca="1" si="96"/>
        <v>Michael Santos</v>
      </c>
      <c r="M259" t="str">
        <f t="shared" ca="1" si="97"/>
        <v>Investor</v>
      </c>
      <c r="N259" t="str">
        <f t="shared" ca="1" si="98"/>
        <v>Bank Loan</v>
      </c>
      <c r="O259" s="1">
        <f t="shared" ca="1" si="99"/>
        <v>166</v>
      </c>
      <c r="P259" s="2">
        <f t="shared" ca="1" si="100"/>
        <v>252485.25</v>
      </c>
      <c r="Q259" s="2">
        <f t="shared" ca="1" si="101"/>
        <v>-1470886</v>
      </c>
      <c r="R259" s="3">
        <f t="shared" ca="1" si="102"/>
        <v>67872.379032258061</v>
      </c>
      <c r="S259">
        <f t="shared" ca="1" si="103"/>
        <v>124</v>
      </c>
      <c r="T259" s="2">
        <f t="shared" ca="1" si="104"/>
        <v>9887061.1487687789</v>
      </c>
      <c r="U259" s="17">
        <f t="shared" ref="U259:U322" si="107">YEAR(B259)</f>
        <v>2025</v>
      </c>
      <c r="V259" s="20" t="str">
        <f t="shared" si="105"/>
        <v>Apr-2025</v>
      </c>
    </row>
    <row r="260" spans="1:22" x14ac:dyDescent="0.3">
      <c r="A260" t="str">
        <f t="shared" si="106"/>
        <v>TX-00260</v>
      </c>
      <c r="B260" s="6">
        <v>43881</v>
      </c>
      <c r="C260" t="str">
        <f t="shared" ca="1" si="89"/>
        <v>House &amp; Lot</v>
      </c>
      <c r="D260" s="1" t="str">
        <f t="shared" ca="1" si="90"/>
        <v>Bulacan</v>
      </c>
      <c r="E260" s="1">
        <f t="shared" ca="1" si="88"/>
        <v>4</v>
      </c>
      <c r="F260" s="1">
        <f t="shared" ca="1" si="88"/>
        <v>2</v>
      </c>
      <c r="G260">
        <f t="shared" ca="1" si="91"/>
        <v>102</v>
      </c>
      <c r="H260">
        <f t="shared" ca="1" si="92"/>
        <v>52</v>
      </c>
      <c r="I260">
        <f t="shared" ca="1" si="93"/>
        <v>2023</v>
      </c>
      <c r="J260" s="2">
        <f t="shared" ca="1" si="94"/>
        <v>11209390</v>
      </c>
      <c r="K260" s="4">
        <f t="shared" ca="1" si="95"/>
        <v>2125785</v>
      </c>
      <c r="L260" t="str">
        <f t="shared" ca="1" si="96"/>
        <v>Rachel Villanueva</v>
      </c>
      <c r="M260" t="str">
        <f t="shared" ca="1" si="97"/>
        <v>Investor</v>
      </c>
      <c r="N260" t="str">
        <f t="shared" ca="1" si="98"/>
        <v>Cash</v>
      </c>
      <c r="O260" s="1">
        <f t="shared" ca="1" si="99"/>
        <v>122</v>
      </c>
      <c r="P260" s="2">
        <f t="shared" ca="1" si="100"/>
        <v>63773.549999999996</v>
      </c>
      <c r="Q260" s="2">
        <f t="shared" ca="1" si="101"/>
        <v>-9083605</v>
      </c>
      <c r="R260" s="3">
        <f t="shared" ca="1" si="102"/>
        <v>40880.480769230766</v>
      </c>
      <c r="S260">
        <f t="shared" ca="1" si="103"/>
        <v>52</v>
      </c>
      <c r="T260" s="2">
        <f t="shared" ca="1" si="104"/>
        <v>11209390.810356764</v>
      </c>
      <c r="U260" s="17">
        <f t="shared" si="107"/>
        <v>2020</v>
      </c>
      <c r="V260" s="20" t="str">
        <f t="shared" si="105"/>
        <v>Feb-2020</v>
      </c>
    </row>
    <row r="261" spans="1:22" x14ac:dyDescent="0.3">
      <c r="A261" t="str">
        <f t="shared" si="106"/>
        <v>TX-00261</v>
      </c>
      <c r="B261" s="6">
        <v>43860</v>
      </c>
      <c r="C261" t="str">
        <f t="shared" ca="1" si="89"/>
        <v>House &amp; Lot</v>
      </c>
      <c r="D261" s="1" t="str">
        <f t="shared" ca="1" si="90"/>
        <v>Bulacan</v>
      </c>
      <c r="E261" s="1">
        <f t="shared" ca="1" si="88"/>
        <v>1</v>
      </c>
      <c r="F261" s="1">
        <f t="shared" ca="1" si="88"/>
        <v>2</v>
      </c>
      <c r="G261">
        <f t="shared" ca="1" si="91"/>
        <v>176</v>
      </c>
      <c r="H261">
        <f t="shared" ca="1" si="92"/>
        <v>102</v>
      </c>
      <c r="I261">
        <f t="shared" ca="1" si="93"/>
        <v>2021</v>
      </c>
      <c r="J261" s="2">
        <f t="shared" ca="1" si="94"/>
        <v>3679907</v>
      </c>
      <c r="K261" s="4">
        <f t="shared" ca="1" si="95"/>
        <v>7235710</v>
      </c>
      <c r="L261" t="str">
        <f t="shared" ca="1" si="96"/>
        <v>Mary Garcia</v>
      </c>
      <c r="M261" t="str">
        <f t="shared" ca="1" si="97"/>
        <v>Investor</v>
      </c>
      <c r="N261" t="str">
        <f t="shared" ca="1" si="98"/>
        <v>Cash</v>
      </c>
      <c r="O261" s="1">
        <f t="shared" ca="1" si="99"/>
        <v>202</v>
      </c>
      <c r="P261" s="2">
        <f t="shared" ca="1" si="100"/>
        <v>217071.3</v>
      </c>
      <c r="Q261" s="2">
        <f t="shared" ca="1" si="101"/>
        <v>3555803</v>
      </c>
      <c r="R261" s="3">
        <f t="shared" ca="1" si="102"/>
        <v>70938.333333333328</v>
      </c>
      <c r="S261">
        <f t="shared" ca="1" si="103"/>
        <v>102</v>
      </c>
      <c r="T261" s="2">
        <f t="shared" ca="1" si="104"/>
        <v>3679906.0337247653</v>
      </c>
      <c r="U261" s="17">
        <f t="shared" si="107"/>
        <v>2020</v>
      </c>
      <c r="V261" s="20" t="str">
        <f t="shared" si="105"/>
        <v>Jan-2020</v>
      </c>
    </row>
    <row r="262" spans="1:22" x14ac:dyDescent="0.3">
      <c r="A262" t="str">
        <f t="shared" si="106"/>
        <v>TX-00262</v>
      </c>
      <c r="B262" s="6">
        <v>44252</v>
      </c>
      <c r="C262" t="str">
        <f t="shared" ca="1" si="89"/>
        <v>House &amp; Lot</v>
      </c>
      <c r="D262" s="1" t="str">
        <f t="shared" ca="1" si="90"/>
        <v>Cavite</v>
      </c>
      <c r="E262" s="1">
        <f t="shared" ref="E262:F281" ca="1" si="108">RANDBETWEEN(1,4)</f>
        <v>1</v>
      </c>
      <c r="F262" s="1">
        <f t="shared" ca="1" si="108"/>
        <v>3</v>
      </c>
      <c r="G262">
        <f t="shared" ca="1" si="91"/>
        <v>154</v>
      </c>
      <c r="H262">
        <f t="shared" ca="1" si="92"/>
        <v>245</v>
      </c>
      <c r="I262">
        <f t="shared" ca="1" si="93"/>
        <v>2012</v>
      </c>
      <c r="J262" s="2">
        <f t="shared" ca="1" si="94"/>
        <v>5091338</v>
      </c>
      <c r="K262" s="4">
        <f t="shared" ca="1" si="95"/>
        <v>8425513</v>
      </c>
      <c r="L262" t="str">
        <f t="shared" ca="1" si="96"/>
        <v>Mary Garcia</v>
      </c>
      <c r="M262" t="str">
        <f t="shared" ca="1" si="97"/>
        <v>Corporation</v>
      </c>
      <c r="N262" t="str">
        <f t="shared" ca="1" si="98"/>
        <v>Pag-IBIG Loan</v>
      </c>
      <c r="O262" s="1">
        <f t="shared" ca="1" si="99"/>
        <v>264</v>
      </c>
      <c r="P262" s="2">
        <f t="shared" ca="1" si="100"/>
        <v>252765.38999999998</v>
      </c>
      <c r="Q262" s="2">
        <f t="shared" ca="1" si="101"/>
        <v>3334175</v>
      </c>
      <c r="R262" s="3">
        <f t="shared" ca="1" si="102"/>
        <v>34389.848979591836</v>
      </c>
      <c r="S262">
        <f t="shared" ca="1" si="103"/>
        <v>245</v>
      </c>
      <c r="T262" s="2">
        <f t="shared" ca="1" si="104"/>
        <v>5091337.3451279411</v>
      </c>
      <c r="U262" s="17">
        <f t="shared" si="107"/>
        <v>2021</v>
      </c>
      <c r="V262" s="20" t="str">
        <f t="shared" si="105"/>
        <v>Feb-2021</v>
      </c>
    </row>
    <row r="263" spans="1:22" x14ac:dyDescent="0.3">
      <c r="A263" t="str">
        <f t="shared" si="106"/>
        <v>TX-00263</v>
      </c>
      <c r="B263" s="6">
        <v>45407</v>
      </c>
      <c r="C263" t="str">
        <f t="shared" ca="1" si="89"/>
        <v>Condo</v>
      </c>
      <c r="D263" s="1" t="str">
        <f t="shared" ca="1" si="90"/>
        <v>Laguna</v>
      </c>
      <c r="E263" s="1">
        <f t="shared" ca="1" si="108"/>
        <v>4</v>
      </c>
      <c r="F263" s="1">
        <f t="shared" ca="1" si="108"/>
        <v>3</v>
      </c>
      <c r="G263">
        <f t="shared" ca="1" si="91"/>
        <v>104</v>
      </c>
      <c r="H263">
        <f t="shared" ca="1" si="92"/>
        <v>50</v>
      </c>
      <c r="I263">
        <f t="shared" ca="1" si="93"/>
        <v>2013</v>
      </c>
      <c r="J263" s="2">
        <f t="shared" ca="1" si="94"/>
        <v>3931504</v>
      </c>
      <c r="K263" s="4">
        <f t="shared" ca="1" si="95"/>
        <v>4438456</v>
      </c>
      <c r="L263" t="str">
        <f t="shared" ca="1" si="96"/>
        <v>Daniel Cruz</v>
      </c>
      <c r="M263" t="str">
        <f t="shared" ca="1" si="97"/>
        <v>Corporation</v>
      </c>
      <c r="N263" t="str">
        <f t="shared" ca="1" si="98"/>
        <v>Bank Loan</v>
      </c>
      <c r="O263" s="1">
        <f t="shared" ca="1" si="99"/>
        <v>161</v>
      </c>
      <c r="P263" s="2">
        <f t="shared" ca="1" si="100"/>
        <v>133153.68</v>
      </c>
      <c r="Q263" s="2">
        <f t="shared" ca="1" si="101"/>
        <v>506952</v>
      </c>
      <c r="R263" s="3">
        <f t="shared" ca="1" si="102"/>
        <v>42677.461538461539</v>
      </c>
      <c r="S263">
        <f t="shared" ca="1" si="103"/>
        <v>104</v>
      </c>
      <c r="T263" s="2">
        <f t="shared" ca="1" si="104"/>
        <v>3931503.8710539276</v>
      </c>
      <c r="U263" s="17">
        <f t="shared" si="107"/>
        <v>2024</v>
      </c>
      <c r="V263" s="20" t="str">
        <f t="shared" si="105"/>
        <v>Apr-2024</v>
      </c>
    </row>
    <row r="264" spans="1:22" x14ac:dyDescent="0.3">
      <c r="A264" t="str">
        <f t="shared" si="106"/>
        <v>TX-00264</v>
      </c>
      <c r="B264" s="6">
        <v>43401</v>
      </c>
      <c r="C264" t="str">
        <f t="shared" ca="1" si="89"/>
        <v>Land</v>
      </c>
      <c r="D264" s="1" t="str">
        <f t="shared" ca="1" si="90"/>
        <v>Laguna</v>
      </c>
      <c r="E264" s="1">
        <f t="shared" ca="1" si="108"/>
        <v>3</v>
      </c>
      <c r="F264" s="1">
        <f t="shared" ca="1" si="108"/>
        <v>3</v>
      </c>
      <c r="G264">
        <f t="shared" ca="1" si="91"/>
        <v>178</v>
      </c>
      <c r="H264">
        <f t="shared" ca="1" si="92"/>
        <v>161</v>
      </c>
      <c r="I264">
        <f t="shared" ca="1" si="93"/>
        <v>2016</v>
      </c>
      <c r="J264" s="2">
        <f t="shared" ca="1" si="94"/>
        <v>11291318</v>
      </c>
      <c r="K264" s="4">
        <f t="shared" ca="1" si="95"/>
        <v>2008174</v>
      </c>
      <c r="L264" t="str">
        <f t="shared" ca="1" si="96"/>
        <v>Daniel Cruz</v>
      </c>
      <c r="M264" t="str">
        <f t="shared" ca="1" si="97"/>
        <v>OFW</v>
      </c>
      <c r="N264" t="str">
        <f t="shared" ca="1" si="98"/>
        <v>Bank Loan</v>
      </c>
      <c r="O264" s="1">
        <f t="shared" ca="1" si="99"/>
        <v>253</v>
      </c>
      <c r="P264" s="2">
        <f t="shared" ca="1" si="100"/>
        <v>60245.22</v>
      </c>
      <c r="Q264" s="2">
        <f t="shared" ca="1" si="101"/>
        <v>-9283144</v>
      </c>
      <c r="R264" s="3">
        <f t="shared" ca="1" si="102"/>
        <v>12473.130434782608</v>
      </c>
      <c r="S264">
        <f t="shared" ca="1" si="103"/>
        <v>161</v>
      </c>
      <c r="T264" s="2">
        <f t="shared" ca="1" si="104"/>
        <v>11291318.822148841</v>
      </c>
      <c r="U264" s="17">
        <f t="shared" si="107"/>
        <v>2018</v>
      </c>
      <c r="V264" s="20" t="str">
        <f t="shared" si="105"/>
        <v>Oct-2018</v>
      </c>
    </row>
    <row r="265" spans="1:22" x14ac:dyDescent="0.3">
      <c r="A265" t="str">
        <f t="shared" si="106"/>
        <v>TX-00265</v>
      </c>
      <c r="B265" s="6">
        <v>44014</v>
      </c>
      <c r="C265" t="str">
        <f t="shared" ca="1" si="89"/>
        <v>House &amp; Lot</v>
      </c>
      <c r="D265" s="1" t="str">
        <f t="shared" ca="1" si="90"/>
        <v>Bulacan</v>
      </c>
      <c r="E265" s="1">
        <f t="shared" ca="1" si="108"/>
        <v>4</v>
      </c>
      <c r="F265" s="1">
        <f t="shared" ca="1" si="108"/>
        <v>1</v>
      </c>
      <c r="G265">
        <f t="shared" ca="1" si="91"/>
        <v>112</v>
      </c>
      <c r="H265">
        <f t="shared" ca="1" si="92"/>
        <v>223</v>
      </c>
      <c r="I265">
        <f t="shared" ca="1" si="93"/>
        <v>2019</v>
      </c>
      <c r="J265" s="2">
        <f t="shared" ca="1" si="94"/>
        <v>11550297</v>
      </c>
      <c r="K265" s="4">
        <f t="shared" ca="1" si="95"/>
        <v>9334201</v>
      </c>
      <c r="L265" t="str">
        <f t="shared" ca="1" si="96"/>
        <v>Anna Mendoza</v>
      </c>
      <c r="M265" t="str">
        <f t="shared" ca="1" si="97"/>
        <v>Corporation</v>
      </c>
      <c r="N265" t="str">
        <f t="shared" ca="1" si="98"/>
        <v>Installment</v>
      </c>
      <c r="O265" s="1">
        <f t="shared" ca="1" si="99"/>
        <v>106</v>
      </c>
      <c r="P265" s="2">
        <f t="shared" ca="1" si="100"/>
        <v>280026.02999999997</v>
      </c>
      <c r="Q265" s="2">
        <f t="shared" ca="1" si="101"/>
        <v>-2216096</v>
      </c>
      <c r="R265" s="3">
        <f t="shared" ca="1" si="102"/>
        <v>41857.403587443943</v>
      </c>
      <c r="S265">
        <f t="shared" ca="1" si="103"/>
        <v>223</v>
      </c>
      <c r="T265" s="2">
        <f t="shared" ca="1" si="104"/>
        <v>11550297.19186485</v>
      </c>
      <c r="U265" s="17">
        <f t="shared" si="107"/>
        <v>2020</v>
      </c>
      <c r="V265" s="20" t="str">
        <f t="shared" si="105"/>
        <v>Jul-2020</v>
      </c>
    </row>
    <row r="266" spans="1:22" x14ac:dyDescent="0.3">
      <c r="A266" t="str">
        <f t="shared" si="106"/>
        <v>TX-00266</v>
      </c>
      <c r="B266" s="6">
        <v>44475</v>
      </c>
      <c r="C266" t="str">
        <f t="shared" ca="1" si="89"/>
        <v>Land</v>
      </c>
      <c r="D266" s="1" t="str">
        <f t="shared" ca="1" si="90"/>
        <v>Bulacan</v>
      </c>
      <c r="E266" s="1">
        <f t="shared" ca="1" si="108"/>
        <v>4</v>
      </c>
      <c r="F266" s="1">
        <f t="shared" ca="1" si="108"/>
        <v>3</v>
      </c>
      <c r="G266">
        <f t="shared" ca="1" si="91"/>
        <v>126</v>
      </c>
      <c r="H266">
        <f t="shared" ca="1" si="92"/>
        <v>162</v>
      </c>
      <c r="I266">
        <f t="shared" ca="1" si="93"/>
        <v>2019</v>
      </c>
      <c r="J266" s="2">
        <f t="shared" ca="1" si="94"/>
        <v>6681276</v>
      </c>
      <c r="K266" s="4">
        <f t="shared" ca="1" si="95"/>
        <v>7374115</v>
      </c>
      <c r="L266" t="str">
        <f t="shared" ca="1" si="96"/>
        <v>Daniel Cruz</v>
      </c>
      <c r="M266" t="str">
        <f t="shared" ca="1" si="97"/>
        <v>Investor</v>
      </c>
      <c r="N266" t="str">
        <f t="shared" ca="1" si="98"/>
        <v>Pag-IBIG Loan</v>
      </c>
      <c r="O266" s="1">
        <f t="shared" ca="1" si="99"/>
        <v>133</v>
      </c>
      <c r="P266" s="2">
        <f t="shared" ca="1" si="100"/>
        <v>221223.44999999998</v>
      </c>
      <c r="Q266" s="2">
        <f t="shared" ca="1" si="101"/>
        <v>692839</v>
      </c>
      <c r="R266" s="3">
        <f t="shared" ca="1" si="102"/>
        <v>45519.228395061727</v>
      </c>
      <c r="S266">
        <f t="shared" ca="1" si="103"/>
        <v>162</v>
      </c>
      <c r="T266" s="2">
        <f t="shared" ca="1" si="104"/>
        <v>6681275.8963013953</v>
      </c>
      <c r="U266" s="17">
        <f t="shared" si="107"/>
        <v>2021</v>
      </c>
      <c r="V266" s="20" t="str">
        <f t="shared" si="105"/>
        <v>Oct-2021</v>
      </c>
    </row>
    <row r="267" spans="1:22" x14ac:dyDescent="0.3">
      <c r="A267" t="str">
        <f t="shared" si="106"/>
        <v>TX-00267</v>
      </c>
      <c r="B267" s="6">
        <v>45871</v>
      </c>
      <c r="C267" t="str">
        <f t="shared" ca="1" si="89"/>
        <v>House &amp; Lot</v>
      </c>
      <c r="D267" s="1" t="str">
        <f t="shared" ca="1" si="90"/>
        <v>Cavite</v>
      </c>
      <c r="E267" s="1">
        <f t="shared" ca="1" si="108"/>
        <v>2</v>
      </c>
      <c r="F267" s="1">
        <f t="shared" ca="1" si="108"/>
        <v>2</v>
      </c>
      <c r="G267">
        <f t="shared" ca="1" si="91"/>
        <v>136</v>
      </c>
      <c r="H267">
        <f t="shared" ca="1" si="92"/>
        <v>62</v>
      </c>
      <c r="I267">
        <f t="shared" ca="1" si="93"/>
        <v>2017</v>
      </c>
      <c r="J267" s="2">
        <f t="shared" ca="1" si="94"/>
        <v>5872295</v>
      </c>
      <c r="K267" s="4">
        <f t="shared" ca="1" si="95"/>
        <v>12320394</v>
      </c>
      <c r="L267" t="str">
        <f t="shared" ca="1" si="96"/>
        <v>Joy Ramos</v>
      </c>
      <c r="M267" t="str">
        <f t="shared" ca="1" si="97"/>
        <v>OFW</v>
      </c>
      <c r="N267" t="str">
        <f t="shared" ca="1" si="98"/>
        <v>Bank Loan</v>
      </c>
      <c r="O267" s="1">
        <f t="shared" ca="1" si="99"/>
        <v>365</v>
      </c>
      <c r="P267" s="2">
        <f t="shared" ca="1" si="100"/>
        <v>369611.82</v>
      </c>
      <c r="Q267" s="2">
        <f t="shared" ca="1" si="101"/>
        <v>6448099</v>
      </c>
      <c r="R267" s="3">
        <f t="shared" ca="1" si="102"/>
        <v>198716.03225806452</v>
      </c>
      <c r="S267">
        <f t="shared" ca="1" si="103"/>
        <v>62</v>
      </c>
      <c r="T267" s="2">
        <f t="shared" ca="1" si="104"/>
        <v>5872293.9019456618</v>
      </c>
      <c r="U267" s="17">
        <f t="shared" si="107"/>
        <v>2025</v>
      </c>
      <c r="V267" s="20" t="str">
        <f t="shared" si="105"/>
        <v>Aug-2025</v>
      </c>
    </row>
    <row r="268" spans="1:22" x14ac:dyDescent="0.3">
      <c r="A268" t="str">
        <f t="shared" si="106"/>
        <v>TX-00268</v>
      </c>
      <c r="B268" s="6">
        <v>44756</v>
      </c>
      <c r="C268" t="str">
        <f t="shared" ca="1" si="89"/>
        <v>House &amp; Lot</v>
      </c>
      <c r="D268" s="1" t="str">
        <f t="shared" ca="1" si="90"/>
        <v>Laguna</v>
      </c>
      <c r="E268" s="1">
        <f t="shared" ca="1" si="108"/>
        <v>1</v>
      </c>
      <c r="F268" s="1">
        <f t="shared" ca="1" si="108"/>
        <v>3</v>
      </c>
      <c r="G268">
        <f t="shared" ca="1" si="91"/>
        <v>140</v>
      </c>
      <c r="H268">
        <f t="shared" ca="1" si="92"/>
        <v>70</v>
      </c>
      <c r="I268">
        <f t="shared" ca="1" si="93"/>
        <v>2017</v>
      </c>
      <c r="J268" s="2">
        <f t="shared" ca="1" si="94"/>
        <v>8920051</v>
      </c>
      <c r="K268" s="4">
        <f t="shared" ca="1" si="95"/>
        <v>6940484</v>
      </c>
      <c r="L268" t="str">
        <f t="shared" ca="1" si="96"/>
        <v>Mark Reyes</v>
      </c>
      <c r="M268" t="str">
        <f t="shared" ca="1" si="97"/>
        <v>Individual</v>
      </c>
      <c r="N268" t="str">
        <f t="shared" ca="1" si="98"/>
        <v>Pag-IBIG Loan</v>
      </c>
      <c r="O268" s="1">
        <f t="shared" ca="1" si="99"/>
        <v>102</v>
      </c>
      <c r="P268" s="2">
        <f t="shared" ca="1" si="100"/>
        <v>208214.52</v>
      </c>
      <c r="Q268" s="2">
        <f t="shared" ca="1" si="101"/>
        <v>-1979567</v>
      </c>
      <c r="R268" s="3">
        <f t="shared" ca="1" si="102"/>
        <v>99149.771428571432</v>
      </c>
      <c r="S268">
        <f t="shared" ca="1" si="103"/>
        <v>70</v>
      </c>
      <c r="T268" s="2">
        <f t="shared" ca="1" si="104"/>
        <v>8920051.2219232824</v>
      </c>
      <c r="U268" s="17">
        <f t="shared" si="107"/>
        <v>2022</v>
      </c>
      <c r="V268" s="20" t="str">
        <f t="shared" si="105"/>
        <v>Jul-2022</v>
      </c>
    </row>
    <row r="269" spans="1:22" x14ac:dyDescent="0.3">
      <c r="A269" t="str">
        <f t="shared" si="106"/>
        <v>TX-00269</v>
      </c>
      <c r="B269" s="6">
        <v>44003</v>
      </c>
      <c r="C269" t="str">
        <f t="shared" ca="1" si="89"/>
        <v>Condo</v>
      </c>
      <c r="D269" s="1" t="str">
        <f t="shared" ca="1" si="90"/>
        <v>Makati</v>
      </c>
      <c r="E269" s="1">
        <f t="shared" ca="1" si="108"/>
        <v>2</v>
      </c>
      <c r="F269" s="1">
        <f t="shared" ca="1" si="108"/>
        <v>4</v>
      </c>
      <c r="G269">
        <f t="shared" ca="1" si="91"/>
        <v>187</v>
      </c>
      <c r="H269">
        <f t="shared" ca="1" si="92"/>
        <v>176</v>
      </c>
      <c r="I269">
        <f t="shared" ca="1" si="93"/>
        <v>2015</v>
      </c>
      <c r="J269" s="2">
        <f t="shared" ca="1" si="94"/>
        <v>8929515</v>
      </c>
      <c r="K269" s="4">
        <f t="shared" ca="1" si="95"/>
        <v>7988935</v>
      </c>
      <c r="L269" t="str">
        <f t="shared" ca="1" si="96"/>
        <v>Rachel Villanueva</v>
      </c>
      <c r="M269" t="str">
        <f t="shared" ca="1" si="97"/>
        <v>Corporation</v>
      </c>
      <c r="N269" t="str">
        <f t="shared" ca="1" si="98"/>
        <v>Installment</v>
      </c>
      <c r="O269" s="1">
        <f t="shared" ca="1" si="99"/>
        <v>125</v>
      </c>
      <c r="P269" s="2">
        <f t="shared" ca="1" si="100"/>
        <v>239668.05</v>
      </c>
      <c r="Q269" s="2">
        <f t="shared" ca="1" si="101"/>
        <v>-940580</v>
      </c>
      <c r="R269" s="3">
        <f t="shared" ca="1" si="102"/>
        <v>42721.577540106955</v>
      </c>
      <c r="S269">
        <f t="shared" ca="1" si="103"/>
        <v>187</v>
      </c>
      <c r="T269" s="2">
        <f t="shared" ca="1" si="104"/>
        <v>8929515.1053338274</v>
      </c>
      <c r="U269" s="17">
        <f t="shared" si="107"/>
        <v>2020</v>
      </c>
      <c r="V269" s="20" t="str">
        <f t="shared" si="105"/>
        <v>Jun-2020</v>
      </c>
    </row>
    <row r="270" spans="1:22" x14ac:dyDescent="0.3">
      <c r="A270" t="str">
        <f t="shared" si="106"/>
        <v>TX-00270</v>
      </c>
      <c r="B270" s="6">
        <v>43572</v>
      </c>
      <c r="C270" t="str">
        <f t="shared" ca="1" si="89"/>
        <v>Land</v>
      </c>
      <c r="D270" s="1" t="str">
        <f t="shared" ca="1" si="90"/>
        <v>Bulacan</v>
      </c>
      <c r="E270" s="1">
        <f t="shared" ca="1" si="108"/>
        <v>4</v>
      </c>
      <c r="F270" s="1">
        <f t="shared" ca="1" si="108"/>
        <v>2</v>
      </c>
      <c r="G270">
        <f t="shared" ca="1" si="91"/>
        <v>87</v>
      </c>
      <c r="H270">
        <f t="shared" ca="1" si="92"/>
        <v>84</v>
      </c>
      <c r="I270">
        <f t="shared" ca="1" si="93"/>
        <v>2013</v>
      </c>
      <c r="J270" s="2">
        <f t="shared" ca="1" si="94"/>
        <v>11199489</v>
      </c>
      <c r="K270" s="4">
        <f t="shared" ca="1" si="95"/>
        <v>11019995</v>
      </c>
      <c r="L270" t="str">
        <f t="shared" ca="1" si="96"/>
        <v>Rachel Villanueva</v>
      </c>
      <c r="M270" t="str">
        <f t="shared" ca="1" si="97"/>
        <v>Corporation</v>
      </c>
      <c r="N270" t="str">
        <f t="shared" ca="1" si="98"/>
        <v>Bank Loan</v>
      </c>
      <c r="O270" s="1">
        <f t="shared" ca="1" si="99"/>
        <v>130</v>
      </c>
      <c r="P270" s="2">
        <f t="shared" ca="1" si="100"/>
        <v>330599.84999999998</v>
      </c>
      <c r="Q270" s="2">
        <f t="shared" ca="1" si="101"/>
        <v>-179494</v>
      </c>
      <c r="R270" s="3">
        <f t="shared" ca="1" si="102"/>
        <v>131190.41666666666</v>
      </c>
      <c r="S270">
        <f t="shared" ca="1" si="103"/>
        <v>84</v>
      </c>
      <c r="T270" s="2">
        <f t="shared" ca="1" si="104"/>
        <v>11199489.016026981</v>
      </c>
      <c r="U270" s="17">
        <f t="shared" si="107"/>
        <v>2019</v>
      </c>
      <c r="V270" s="20" t="str">
        <f t="shared" si="105"/>
        <v>Apr-2019</v>
      </c>
    </row>
    <row r="271" spans="1:22" x14ac:dyDescent="0.3">
      <c r="A271" t="str">
        <f t="shared" si="106"/>
        <v>TX-00271</v>
      </c>
      <c r="B271" s="6">
        <v>45513</v>
      </c>
      <c r="C271" t="str">
        <f t="shared" ca="1" si="89"/>
        <v>Land</v>
      </c>
      <c r="D271" s="1" t="str">
        <f t="shared" ca="1" si="90"/>
        <v>Bulacan</v>
      </c>
      <c r="E271" s="1">
        <f t="shared" ca="1" si="108"/>
        <v>1</v>
      </c>
      <c r="F271" s="1">
        <f t="shared" ca="1" si="108"/>
        <v>3</v>
      </c>
      <c r="G271">
        <f t="shared" ca="1" si="91"/>
        <v>100</v>
      </c>
      <c r="H271">
        <f t="shared" ca="1" si="92"/>
        <v>78</v>
      </c>
      <c r="I271">
        <f t="shared" ca="1" si="93"/>
        <v>2015</v>
      </c>
      <c r="J271" s="2">
        <f t="shared" ca="1" si="94"/>
        <v>5116540</v>
      </c>
      <c r="K271" s="4">
        <f t="shared" ca="1" si="95"/>
        <v>5410713</v>
      </c>
      <c r="L271" t="str">
        <f t="shared" ca="1" si="96"/>
        <v>Anna Mendoza</v>
      </c>
      <c r="M271" t="str">
        <f t="shared" ca="1" si="97"/>
        <v>Individual</v>
      </c>
      <c r="N271" t="str">
        <f t="shared" ca="1" si="98"/>
        <v>Installment</v>
      </c>
      <c r="O271" s="1">
        <f t="shared" ca="1" si="99"/>
        <v>204</v>
      </c>
      <c r="P271" s="2">
        <f t="shared" ca="1" si="100"/>
        <v>162321.38999999998</v>
      </c>
      <c r="Q271" s="2">
        <f t="shared" ca="1" si="101"/>
        <v>294173</v>
      </c>
      <c r="R271" s="3">
        <f t="shared" ca="1" si="102"/>
        <v>69368.11538461539</v>
      </c>
      <c r="S271">
        <f t="shared" ca="1" si="103"/>
        <v>78</v>
      </c>
      <c r="T271" s="2">
        <f t="shared" ca="1" si="104"/>
        <v>5116539.9425054826</v>
      </c>
      <c r="U271" s="17">
        <f t="shared" si="107"/>
        <v>2024</v>
      </c>
      <c r="V271" s="20" t="str">
        <f t="shared" si="105"/>
        <v>Aug-2024</v>
      </c>
    </row>
    <row r="272" spans="1:22" x14ac:dyDescent="0.3">
      <c r="A272" t="str">
        <f t="shared" si="106"/>
        <v>TX-00272</v>
      </c>
      <c r="B272" s="6">
        <v>43268</v>
      </c>
      <c r="C272" t="str">
        <f t="shared" ca="1" si="89"/>
        <v>House &amp; Lot</v>
      </c>
      <c r="D272" s="1" t="str">
        <f t="shared" ca="1" si="90"/>
        <v>Cavite</v>
      </c>
      <c r="E272" s="1">
        <f t="shared" ca="1" si="108"/>
        <v>4</v>
      </c>
      <c r="F272" s="1">
        <f t="shared" ca="1" si="108"/>
        <v>3</v>
      </c>
      <c r="G272">
        <f t="shared" ca="1" si="91"/>
        <v>110</v>
      </c>
      <c r="H272">
        <f t="shared" ca="1" si="92"/>
        <v>79</v>
      </c>
      <c r="I272">
        <f t="shared" ca="1" si="93"/>
        <v>2016</v>
      </c>
      <c r="J272" s="2">
        <f t="shared" ca="1" si="94"/>
        <v>4014489</v>
      </c>
      <c r="K272" s="4">
        <f t="shared" ca="1" si="95"/>
        <v>10217074</v>
      </c>
      <c r="L272" t="str">
        <f t="shared" ca="1" si="96"/>
        <v>Rachel Villanueva</v>
      </c>
      <c r="M272" t="str">
        <f t="shared" ca="1" si="97"/>
        <v>Investor</v>
      </c>
      <c r="N272" t="str">
        <f t="shared" ca="1" si="98"/>
        <v>Installment</v>
      </c>
      <c r="O272" s="1">
        <f t="shared" ca="1" si="99"/>
        <v>174</v>
      </c>
      <c r="P272" s="2">
        <f t="shared" ca="1" si="100"/>
        <v>306512.21999999997</v>
      </c>
      <c r="Q272" s="2">
        <f t="shared" ca="1" si="101"/>
        <v>6202585</v>
      </c>
      <c r="R272" s="3">
        <f t="shared" ca="1" si="102"/>
        <v>129330.0506329114</v>
      </c>
      <c r="S272">
        <f t="shared" ca="1" si="103"/>
        <v>79</v>
      </c>
      <c r="T272" s="2">
        <f t="shared" ca="1" si="104"/>
        <v>4014487.4549503061</v>
      </c>
      <c r="U272" s="17">
        <f t="shared" si="107"/>
        <v>2018</v>
      </c>
      <c r="V272" s="20" t="str">
        <f t="shared" si="105"/>
        <v>Jun-2018</v>
      </c>
    </row>
    <row r="273" spans="1:22" x14ac:dyDescent="0.3">
      <c r="A273" t="str">
        <f t="shared" si="106"/>
        <v>TX-00273</v>
      </c>
      <c r="B273" s="6">
        <v>44746</v>
      </c>
      <c r="C273" t="str">
        <f t="shared" ca="1" si="89"/>
        <v>House &amp; Lot</v>
      </c>
      <c r="D273" s="1" t="str">
        <f t="shared" ca="1" si="90"/>
        <v>Makati</v>
      </c>
      <c r="E273" s="1">
        <f t="shared" ca="1" si="108"/>
        <v>2</v>
      </c>
      <c r="F273" s="1">
        <f t="shared" ca="1" si="108"/>
        <v>3</v>
      </c>
      <c r="G273">
        <f t="shared" ca="1" si="91"/>
        <v>133</v>
      </c>
      <c r="H273">
        <f t="shared" ca="1" si="92"/>
        <v>151</v>
      </c>
      <c r="I273">
        <f t="shared" ca="1" si="93"/>
        <v>2014</v>
      </c>
      <c r="J273" s="2">
        <f t="shared" ca="1" si="94"/>
        <v>8752143</v>
      </c>
      <c r="K273" s="4">
        <f t="shared" ca="1" si="95"/>
        <v>12330456</v>
      </c>
      <c r="L273" t="str">
        <f t="shared" ca="1" si="96"/>
        <v>Rachel Villanueva</v>
      </c>
      <c r="M273" t="str">
        <f t="shared" ca="1" si="97"/>
        <v>Investor</v>
      </c>
      <c r="N273" t="str">
        <f t="shared" ca="1" si="98"/>
        <v>Installment</v>
      </c>
      <c r="O273" s="1">
        <f t="shared" ca="1" si="99"/>
        <v>242</v>
      </c>
      <c r="P273" s="2">
        <f t="shared" ca="1" si="100"/>
        <v>369913.68</v>
      </c>
      <c r="Q273" s="2">
        <f t="shared" ca="1" si="101"/>
        <v>3578313</v>
      </c>
      <c r="R273" s="3">
        <f t="shared" ca="1" si="102"/>
        <v>81658.649006622523</v>
      </c>
      <c r="S273">
        <f t="shared" ca="1" si="103"/>
        <v>151</v>
      </c>
      <c r="T273" s="2">
        <f t="shared" ca="1" si="104"/>
        <v>8752142.5911500752</v>
      </c>
      <c r="U273" s="17">
        <f t="shared" si="107"/>
        <v>2022</v>
      </c>
      <c r="V273" s="20" t="str">
        <f t="shared" si="105"/>
        <v>Jul-2022</v>
      </c>
    </row>
    <row r="274" spans="1:22" x14ac:dyDescent="0.3">
      <c r="A274" t="str">
        <f t="shared" si="106"/>
        <v>TX-00274</v>
      </c>
      <c r="B274" s="6">
        <v>44445</v>
      </c>
      <c r="C274" t="str">
        <f t="shared" ca="1" si="89"/>
        <v>House &amp; Lot</v>
      </c>
      <c r="D274" s="1" t="str">
        <f t="shared" ca="1" si="90"/>
        <v>Bulacan</v>
      </c>
      <c r="E274" s="1">
        <f t="shared" ca="1" si="108"/>
        <v>2</v>
      </c>
      <c r="F274" s="1">
        <f t="shared" ca="1" si="108"/>
        <v>1</v>
      </c>
      <c r="G274">
        <f t="shared" ca="1" si="91"/>
        <v>148</v>
      </c>
      <c r="H274">
        <f t="shared" ca="1" si="92"/>
        <v>114</v>
      </c>
      <c r="I274">
        <f t="shared" ca="1" si="93"/>
        <v>2014</v>
      </c>
      <c r="J274" s="2">
        <f t="shared" ca="1" si="94"/>
        <v>12471782</v>
      </c>
      <c r="K274" s="4">
        <f t="shared" ca="1" si="95"/>
        <v>5200045</v>
      </c>
      <c r="L274" t="str">
        <f t="shared" ca="1" si="96"/>
        <v>Michelle Flores</v>
      </c>
      <c r="M274" t="str">
        <f t="shared" ca="1" si="97"/>
        <v>OFW</v>
      </c>
      <c r="N274" t="str">
        <f t="shared" ca="1" si="98"/>
        <v>Cash</v>
      </c>
      <c r="O274" s="1">
        <f t="shared" ca="1" si="99"/>
        <v>311</v>
      </c>
      <c r="P274" s="2">
        <f t="shared" ca="1" si="100"/>
        <v>156001.35</v>
      </c>
      <c r="Q274" s="2">
        <f t="shared" ca="1" si="101"/>
        <v>-7271737</v>
      </c>
      <c r="R274" s="3">
        <f t="shared" ca="1" si="102"/>
        <v>45614.429824561405</v>
      </c>
      <c r="S274">
        <f t="shared" ca="1" si="103"/>
        <v>114</v>
      </c>
      <c r="T274" s="2">
        <f t="shared" ca="1" si="104"/>
        <v>12471782.583055172</v>
      </c>
      <c r="U274" s="17">
        <f t="shared" si="107"/>
        <v>2021</v>
      </c>
      <c r="V274" s="20" t="str">
        <f t="shared" si="105"/>
        <v>Sep-2021</v>
      </c>
    </row>
    <row r="275" spans="1:22" x14ac:dyDescent="0.3">
      <c r="A275" t="str">
        <f t="shared" si="106"/>
        <v>TX-00275</v>
      </c>
      <c r="B275" s="6">
        <v>44019</v>
      </c>
      <c r="C275" t="str">
        <f t="shared" ca="1" si="89"/>
        <v>House &amp; Lot</v>
      </c>
      <c r="D275" s="1" t="str">
        <f t="shared" ca="1" si="90"/>
        <v>Bulacan</v>
      </c>
      <c r="E275" s="1">
        <f t="shared" ca="1" si="108"/>
        <v>2</v>
      </c>
      <c r="F275" s="1">
        <f t="shared" ca="1" si="108"/>
        <v>2</v>
      </c>
      <c r="G275">
        <f t="shared" ca="1" si="91"/>
        <v>58</v>
      </c>
      <c r="H275">
        <f t="shared" ca="1" si="92"/>
        <v>92</v>
      </c>
      <c r="I275">
        <f t="shared" ca="1" si="93"/>
        <v>2013</v>
      </c>
      <c r="J275" s="2">
        <f t="shared" ca="1" si="94"/>
        <v>5183549</v>
      </c>
      <c r="K275" s="4">
        <f t="shared" ca="1" si="95"/>
        <v>5835949</v>
      </c>
      <c r="L275" t="str">
        <f t="shared" ca="1" si="96"/>
        <v>John Dela Cruz</v>
      </c>
      <c r="M275" t="str">
        <f t="shared" ca="1" si="97"/>
        <v>Individual</v>
      </c>
      <c r="N275" t="str">
        <f t="shared" ca="1" si="98"/>
        <v>Cash</v>
      </c>
      <c r="O275" s="1">
        <f t="shared" ca="1" si="99"/>
        <v>180</v>
      </c>
      <c r="P275" s="2">
        <f t="shared" ca="1" si="100"/>
        <v>175078.47</v>
      </c>
      <c r="Q275" s="2">
        <f t="shared" ca="1" si="101"/>
        <v>652400</v>
      </c>
      <c r="R275" s="3">
        <f t="shared" ca="1" si="102"/>
        <v>63434.228260869568</v>
      </c>
      <c r="S275">
        <f t="shared" ca="1" si="103"/>
        <v>92</v>
      </c>
      <c r="T275" s="2">
        <f t="shared" ca="1" si="104"/>
        <v>5183548.874140285</v>
      </c>
      <c r="U275" s="17">
        <f t="shared" si="107"/>
        <v>2020</v>
      </c>
      <c r="V275" s="20" t="str">
        <f t="shared" si="105"/>
        <v>Jul-2020</v>
      </c>
    </row>
    <row r="276" spans="1:22" x14ac:dyDescent="0.3">
      <c r="A276" t="str">
        <f t="shared" si="106"/>
        <v>TX-00276</v>
      </c>
      <c r="B276" s="6">
        <v>43468</v>
      </c>
      <c r="C276" t="str">
        <f t="shared" ca="1" si="89"/>
        <v>Commercial</v>
      </c>
      <c r="D276" s="1" t="str">
        <f t="shared" ca="1" si="90"/>
        <v>Makati</v>
      </c>
      <c r="E276" s="1">
        <f t="shared" ca="1" si="108"/>
        <v>3</v>
      </c>
      <c r="F276" s="1">
        <f t="shared" ca="1" si="108"/>
        <v>3</v>
      </c>
      <c r="G276">
        <f t="shared" ca="1" si="91"/>
        <v>199</v>
      </c>
      <c r="H276">
        <f t="shared" ca="1" si="92"/>
        <v>181</v>
      </c>
      <c r="I276">
        <f t="shared" ca="1" si="93"/>
        <v>2015</v>
      </c>
      <c r="J276" s="2">
        <f t="shared" ca="1" si="94"/>
        <v>10507349</v>
      </c>
      <c r="K276" s="4">
        <f t="shared" ca="1" si="95"/>
        <v>10794368</v>
      </c>
      <c r="L276" t="str">
        <f t="shared" ca="1" si="96"/>
        <v>Rachel Villanueva</v>
      </c>
      <c r="M276" t="str">
        <f t="shared" ca="1" si="97"/>
        <v>Individual</v>
      </c>
      <c r="N276" t="str">
        <f t="shared" ca="1" si="98"/>
        <v>Bank Loan</v>
      </c>
      <c r="O276" s="1">
        <f t="shared" ca="1" si="99"/>
        <v>249</v>
      </c>
      <c r="P276" s="2">
        <f t="shared" ca="1" si="100"/>
        <v>323831.03999999998</v>
      </c>
      <c r="Q276" s="2">
        <f t="shared" ca="1" si="101"/>
        <v>287019</v>
      </c>
      <c r="R276" s="3">
        <f t="shared" ca="1" si="102"/>
        <v>59637.392265193368</v>
      </c>
      <c r="S276">
        <f t="shared" ca="1" si="103"/>
        <v>181</v>
      </c>
      <c r="T276" s="2">
        <f t="shared" ca="1" si="104"/>
        <v>10507348.972683975</v>
      </c>
      <c r="U276" s="17">
        <f t="shared" si="107"/>
        <v>2019</v>
      </c>
      <c r="V276" s="20" t="str">
        <f t="shared" si="105"/>
        <v>Jan-2019</v>
      </c>
    </row>
    <row r="277" spans="1:22" x14ac:dyDescent="0.3">
      <c r="A277" t="str">
        <f t="shared" si="106"/>
        <v>TX-00277</v>
      </c>
      <c r="B277" s="6">
        <v>44200</v>
      </c>
      <c r="C277" t="str">
        <f t="shared" ca="1" si="89"/>
        <v>Land</v>
      </c>
      <c r="D277" s="1" t="str">
        <f t="shared" ca="1" si="90"/>
        <v>Makati</v>
      </c>
      <c r="E277" s="1">
        <f t="shared" ca="1" si="108"/>
        <v>1</v>
      </c>
      <c r="F277" s="1">
        <f t="shared" ca="1" si="108"/>
        <v>4</v>
      </c>
      <c r="G277">
        <f t="shared" ca="1" si="91"/>
        <v>165</v>
      </c>
      <c r="H277">
        <f t="shared" ca="1" si="92"/>
        <v>62</v>
      </c>
      <c r="I277">
        <f t="shared" ca="1" si="93"/>
        <v>2017</v>
      </c>
      <c r="J277" s="2">
        <f t="shared" ca="1" si="94"/>
        <v>13088166</v>
      </c>
      <c r="K277" s="4">
        <f t="shared" ca="1" si="95"/>
        <v>4581382</v>
      </c>
      <c r="L277" t="str">
        <f t="shared" ca="1" si="96"/>
        <v>Mark Reyes</v>
      </c>
      <c r="M277" t="str">
        <f t="shared" ca="1" si="97"/>
        <v>Investor</v>
      </c>
      <c r="N277" t="str">
        <f t="shared" ca="1" si="98"/>
        <v>Installment</v>
      </c>
      <c r="O277" s="1">
        <f t="shared" ca="1" si="99"/>
        <v>357</v>
      </c>
      <c r="P277" s="2">
        <f t="shared" ca="1" si="100"/>
        <v>137441.46</v>
      </c>
      <c r="Q277" s="2">
        <f t="shared" ca="1" si="101"/>
        <v>-8506784</v>
      </c>
      <c r="R277" s="3">
        <f t="shared" ca="1" si="102"/>
        <v>73893.258064516136</v>
      </c>
      <c r="S277">
        <f t="shared" ca="1" si="103"/>
        <v>62</v>
      </c>
      <c r="T277" s="2">
        <f t="shared" ca="1" si="104"/>
        <v>13088166.649959972</v>
      </c>
      <c r="U277" s="17">
        <f t="shared" si="107"/>
        <v>2021</v>
      </c>
      <c r="V277" s="20" t="str">
        <f t="shared" si="105"/>
        <v>Jan-2021</v>
      </c>
    </row>
    <row r="278" spans="1:22" x14ac:dyDescent="0.3">
      <c r="A278" t="str">
        <f t="shared" si="106"/>
        <v>TX-00278</v>
      </c>
      <c r="B278" s="6">
        <v>43523</v>
      </c>
      <c r="C278" t="str">
        <f t="shared" ca="1" si="89"/>
        <v>Land</v>
      </c>
      <c r="D278" s="1" t="str">
        <f t="shared" ca="1" si="90"/>
        <v>Laguna</v>
      </c>
      <c r="E278" s="1">
        <f t="shared" ca="1" si="108"/>
        <v>4</v>
      </c>
      <c r="F278" s="1">
        <f t="shared" ca="1" si="108"/>
        <v>1</v>
      </c>
      <c r="G278">
        <f t="shared" ca="1" si="91"/>
        <v>118</v>
      </c>
      <c r="H278">
        <f t="shared" ca="1" si="92"/>
        <v>228</v>
      </c>
      <c r="I278">
        <f t="shared" ca="1" si="93"/>
        <v>2010</v>
      </c>
      <c r="J278" s="2">
        <f t="shared" ca="1" si="94"/>
        <v>4661019</v>
      </c>
      <c r="K278" s="4">
        <f t="shared" ca="1" si="95"/>
        <v>8677737</v>
      </c>
      <c r="L278" t="str">
        <f t="shared" ca="1" si="96"/>
        <v>Michelle Flores</v>
      </c>
      <c r="M278" t="str">
        <f t="shared" ca="1" si="97"/>
        <v>Investor</v>
      </c>
      <c r="N278" t="str">
        <f t="shared" ca="1" si="98"/>
        <v>Pag-IBIG Loan</v>
      </c>
      <c r="O278" s="1">
        <f t="shared" ca="1" si="99"/>
        <v>227</v>
      </c>
      <c r="P278" s="2">
        <f t="shared" ca="1" si="100"/>
        <v>260332.11</v>
      </c>
      <c r="Q278" s="2">
        <f t="shared" ca="1" si="101"/>
        <v>4016718</v>
      </c>
      <c r="R278" s="3">
        <f t="shared" ca="1" si="102"/>
        <v>38060.25</v>
      </c>
      <c r="S278">
        <f t="shared" ca="1" si="103"/>
        <v>228</v>
      </c>
      <c r="T278" s="2">
        <f t="shared" ca="1" si="104"/>
        <v>4661018.1382317897</v>
      </c>
      <c r="U278" s="17">
        <f t="shared" si="107"/>
        <v>2019</v>
      </c>
      <c r="V278" s="20" t="str">
        <f t="shared" si="105"/>
        <v>Feb-2019</v>
      </c>
    </row>
    <row r="279" spans="1:22" x14ac:dyDescent="0.3">
      <c r="A279" t="str">
        <f t="shared" si="106"/>
        <v>TX-00279</v>
      </c>
      <c r="B279" s="6">
        <v>45553</v>
      </c>
      <c r="C279" t="str">
        <f t="shared" ca="1" si="89"/>
        <v>Condo</v>
      </c>
      <c r="D279" s="1" t="str">
        <f t="shared" ca="1" si="90"/>
        <v>Cavite</v>
      </c>
      <c r="E279" s="1">
        <f t="shared" ca="1" si="108"/>
        <v>3</v>
      </c>
      <c r="F279" s="1">
        <f t="shared" ca="1" si="108"/>
        <v>3</v>
      </c>
      <c r="G279">
        <f t="shared" ca="1" si="91"/>
        <v>194</v>
      </c>
      <c r="H279">
        <f t="shared" ca="1" si="92"/>
        <v>132</v>
      </c>
      <c r="I279">
        <f t="shared" ca="1" si="93"/>
        <v>2015</v>
      </c>
      <c r="J279" s="2">
        <f t="shared" ca="1" si="94"/>
        <v>5749938</v>
      </c>
      <c r="K279" s="4">
        <f t="shared" ca="1" si="95"/>
        <v>5405583</v>
      </c>
      <c r="L279" t="str">
        <f t="shared" ca="1" si="96"/>
        <v>Joy Ramos</v>
      </c>
      <c r="M279" t="str">
        <f t="shared" ca="1" si="97"/>
        <v>Corporation</v>
      </c>
      <c r="N279" t="str">
        <f t="shared" ca="1" si="98"/>
        <v>Pag-IBIG Loan</v>
      </c>
      <c r="O279" s="1">
        <f t="shared" ca="1" si="99"/>
        <v>166</v>
      </c>
      <c r="P279" s="2">
        <f t="shared" ca="1" si="100"/>
        <v>162167.49</v>
      </c>
      <c r="Q279" s="2">
        <f t="shared" ca="1" si="101"/>
        <v>-344355</v>
      </c>
      <c r="R279" s="3">
        <f t="shared" ca="1" si="102"/>
        <v>27863.829896907217</v>
      </c>
      <c r="S279">
        <f t="shared" ca="1" si="103"/>
        <v>194</v>
      </c>
      <c r="T279" s="2">
        <f t="shared" ca="1" si="104"/>
        <v>5749938.0598884718</v>
      </c>
      <c r="U279" s="17">
        <f t="shared" si="107"/>
        <v>2024</v>
      </c>
      <c r="V279" s="20" t="str">
        <f t="shared" si="105"/>
        <v>Sep-2024</v>
      </c>
    </row>
    <row r="280" spans="1:22" x14ac:dyDescent="0.3">
      <c r="A280" t="str">
        <f t="shared" si="106"/>
        <v>TX-00280</v>
      </c>
      <c r="B280" s="6">
        <v>43502</v>
      </c>
      <c r="C280" t="str">
        <f t="shared" ca="1" si="89"/>
        <v>House &amp; Lot</v>
      </c>
      <c r="D280" s="1" t="str">
        <f t="shared" ca="1" si="90"/>
        <v>Bulacan</v>
      </c>
      <c r="E280" s="1">
        <f t="shared" ca="1" si="108"/>
        <v>1</v>
      </c>
      <c r="F280" s="1">
        <f t="shared" ca="1" si="108"/>
        <v>3</v>
      </c>
      <c r="G280">
        <f t="shared" ca="1" si="91"/>
        <v>179</v>
      </c>
      <c r="H280">
        <f t="shared" ca="1" si="92"/>
        <v>198</v>
      </c>
      <c r="I280">
        <f t="shared" ca="1" si="93"/>
        <v>2021</v>
      </c>
      <c r="J280" s="2">
        <f t="shared" ca="1" si="94"/>
        <v>13831720</v>
      </c>
      <c r="K280" s="4">
        <f t="shared" ca="1" si="95"/>
        <v>7278187</v>
      </c>
      <c r="L280" t="str">
        <f t="shared" ca="1" si="96"/>
        <v>Joy Ramos</v>
      </c>
      <c r="M280" t="str">
        <f t="shared" ca="1" si="97"/>
        <v>Corporation</v>
      </c>
      <c r="N280" t="str">
        <f t="shared" ca="1" si="98"/>
        <v>Pag-IBIG Loan</v>
      </c>
      <c r="O280" s="1">
        <f t="shared" ca="1" si="99"/>
        <v>266</v>
      </c>
      <c r="P280" s="2">
        <f t="shared" ca="1" si="100"/>
        <v>218345.61</v>
      </c>
      <c r="Q280" s="2">
        <f t="shared" ca="1" si="101"/>
        <v>-6553533</v>
      </c>
      <c r="R280" s="3">
        <f t="shared" ca="1" si="102"/>
        <v>36758.520202020205</v>
      </c>
      <c r="S280">
        <f t="shared" ca="1" si="103"/>
        <v>198</v>
      </c>
      <c r="T280" s="2">
        <f t="shared" ca="1" si="104"/>
        <v>13831720.473804632</v>
      </c>
      <c r="U280" s="17">
        <f t="shared" si="107"/>
        <v>2019</v>
      </c>
      <c r="V280" s="20" t="str">
        <f t="shared" si="105"/>
        <v>Feb-2019</v>
      </c>
    </row>
    <row r="281" spans="1:22" x14ac:dyDescent="0.3">
      <c r="A281" t="str">
        <f t="shared" si="106"/>
        <v>TX-00281</v>
      </c>
      <c r="B281" s="6">
        <v>45417</v>
      </c>
      <c r="C281" t="str">
        <f t="shared" ca="1" si="89"/>
        <v>House &amp; Lot</v>
      </c>
      <c r="D281" s="1" t="str">
        <f t="shared" ca="1" si="90"/>
        <v>Makati</v>
      </c>
      <c r="E281" s="1">
        <f t="shared" ca="1" si="108"/>
        <v>2</v>
      </c>
      <c r="F281" s="1">
        <f t="shared" ca="1" si="108"/>
        <v>2</v>
      </c>
      <c r="G281">
        <f t="shared" ca="1" si="91"/>
        <v>90</v>
      </c>
      <c r="H281">
        <f t="shared" ca="1" si="92"/>
        <v>142</v>
      </c>
      <c r="I281">
        <f t="shared" ca="1" si="93"/>
        <v>2021</v>
      </c>
      <c r="J281" s="2">
        <f t="shared" ca="1" si="94"/>
        <v>2476680</v>
      </c>
      <c r="K281" s="4">
        <f t="shared" ca="1" si="95"/>
        <v>1542497</v>
      </c>
      <c r="L281" t="str">
        <f t="shared" ca="1" si="96"/>
        <v>Mary Garcia</v>
      </c>
      <c r="M281" t="str">
        <f t="shared" ca="1" si="97"/>
        <v>OFW</v>
      </c>
      <c r="N281" t="str">
        <f t="shared" ca="1" si="98"/>
        <v>Installment</v>
      </c>
      <c r="O281" s="1">
        <f t="shared" ca="1" si="99"/>
        <v>148</v>
      </c>
      <c r="P281" s="2">
        <f t="shared" ca="1" si="100"/>
        <v>46274.909999999996</v>
      </c>
      <c r="Q281" s="2">
        <f t="shared" ca="1" si="101"/>
        <v>-934183</v>
      </c>
      <c r="R281" s="3">
        <f t="shared" ca="1" si="102"/>
        <v>10862.654929577464</v>
      </c>
      <c r="S281">
        <f t="shared" ca="1" si="103"/>
        <v>142</v>
      </c>
      <c r="T281" s="2">
        <f t="shared" ca="1" si="104"/>
        <v>2476680.3771916437</v>
      </c>
      <c r="U281" s="17">
        <f t="shared" si="107"/>
        <v>2024</v>
      </c>
      <c r="V281" s="20" t="str">
        <f t="shared" si="105"/>
        <v>May-2024</v>
      </c>
    </row>
    <row r="282" spans="1:22" x14ac:dyDescent="0.3">
      <c r="A282" t="str">
        <f t="shared" si="106"/>
        <v>TX-00282</v>
      </c>
      <c r="B282" s="6">
        <v>46032</v>
      </c>
      <c r="C282" t="str">
        <f t="shared" ca="1" si="89"/>
        <v>Condo</v>
      </c>
      <c r="D282" s="1" t="str">
        <f t="shared" ca="1" si="90"/>
        <v>Laguna</v>
      </c>
      <c r="E282" s="1">
        <f t="shared" ref="E282:F301" ca="1" si="109">RANDBETWEEN(1,4)</f>
        <v>1</v>
      </c>
      <c r="F282" s="1">
        <f t="shared" ca="1" si="109"/>
        <v>2</v>
      </c>
      <c r="G282">
        <f t="shared" ca="1" si="91"/>
        <v>85</v>
      </c>
      <c r="H282">
        <f t="shared" ca="1" si="92"/>
        <v>61</v>
      </c>
      <c r="I282">
        <f t="shared" ca="1" si="93"/>
        <v>2012</v>
      </c>
      <c r="J282" s="2">
        <f t="shared" ca="1" si="94"/>
        <v>6118001</v>
      </c>
      <c r="K282" s="4">
        <f t="shared" ca="1" si="95"/>
        <v>3096055</v>
      </c>
      <c r="L282" t="str">
        <f t="shared" ca="1" si="96"/>
        <v>Anna Mendoza</v>
      </c>
      <c r="M282" t="str">
        <f t="shared" ca="1" si="97"/>
        <v>Investor</v>
      </c>
      <c r="N282" t="str">
        <f t="shared" ca="1" si="98"/>
        <v>Installment</v>
      </c>
      <c r="O282" s="1">
        <f t="shared" ca="1" si="99"/>
        <v>331</v>
      </c>
      <c r="P282" s="2">
        <f t="shared" ca="1" si="100"/>
        <v>92881.65</v>
      </c>
      <c r="Q282" s="2">
        <f t="shared" ca="1" si="101"/>
        <v>-3021946</v>
      </c>
      <c r="R282" s="3">
        <f t="shared" ca="1" si="102"/>
        <v>36424.176470588238</v>
      </c>
      <c r="S282">
        <f t="shared" ca="1" si="103"/>
        <v>85</v>
      </c>
      <c r="T282" s="2">
        <f t="shared" ca="1" si="104"/>
        <v>6118001.4939433653</v>
      </c>
      <c r="U282" s="17">
        <f t="shared" si="107"/>
        <v>2026</v>
      </c>
      <c r="V282" s="20" t="str">
        <f t="shared" si="105"/>
        <v>Jan-2026</v>
      </c>
    </row>
    <row r="283" spans="1:22" x14ac:dyDescent="0.3">
      <c r="A283" t="str">
        <f t="shared" si="106"/>
        <v>TX-00283</v>
      </c>
      <c r="B283" s="6">
        <v>43578</v>
      </c>
      <c r="C283" t="str">
        <f t="shared" ca="1" si="89"/>
        <v>House &amp; Lot</v>
      </c>
      <c r="D283" s="1" t="str">
        <f t="shared" ca="1" si="90"/>
        <v>Cavite</v>
      </c>
      <c r="E283" s="1">
        <f t="shared" ca="1" si="109"/>
        <v>3</v>
      </c>
      <c r="F283" s="1">
        <f t="shared" ca="1" si="109"/>
        <v>1</v>
      </c>
      <c r="G283">
        <f t="shared" ca="1" si="91"/>
        <v>111</v>
      </c>
      <c r="H283">
        <f t="shared" ca="1" si="92"/>
        <v>51</v>
      </c>
      <c r="I283">
        <f t="shared" ca="1" si="93"/>
        <v>2020</v>
      </c>
      <c r="J283" s="2">
        <f t="shared" ca="1" si="94"/>
        <v>5624003</v>
      </c>
      <c r="K283" s="4">
        <f t="shared" ca="1" si="95"/>
        <v>12747930</v>
      </c>
      <c r="L283" t="str">
        <f t="shared" ca="1" si="96"/>
        <v>Michelle Flores</v>
      </c>
      <c r="M283" t="str">
        <f t="shared" ca="1" si="97"/>
        <v>Investor</v>
      </c>
      <c r="N283" t="str">
        <f t="shared" ca="1" si="98"/>
        <v>Pag-IBIG Loan</v>
      </c>
      <c r="O283" s="1">
        <f t="shared" ca="1" si="99"/>
        <v>355</v>
      </c>
      <c r="P283" s="2">
        <f t="shared" ca="1" si="100"/>
        <v>382437.89999999997</v>
      </c>
      <c r="Q283" s="2">
        <f t="shared" ca="1" si="101"/>
        <v>7123927</v>
      </c>
      <c r="R283" s="3">
        <f t="shared" ca="1" si="102"/>
        <v>249959.41176470587</v>
      </c>
      <c r="S283">
        <f t="shared" ca="1" si="103"/>
        <v>51</v>
      </c>
      <c r="T283" s="2">
        <f t="shared" ca="1" si="104"/>
        <v>5624001.733299573</v>
      </c>
      <c r="U283" s="17">
        <f t="shared" si="107"/>
        <v>2019</v>
      </c>
      <c r="V283" s="20" t="str">
        <f t="shared" si="105"/>
        <v>Apr-2019</v>
      </c>
    </row>
    <row r="284" spans="1:22" x14ac:dyDescent="0.3">
      <c r="A284" t="str">
        <f t="shared" si="106"/>
        <v>TX-00284</v>
      </c>
      <c r="B284" s="6">
        <v>44214</v>
      </c>
      <c r="C284" t="str">
        <f t="shared" ca="1" si="89"/>
        <v>Land</v>
      </c>
      <c r="D284" s="1" t="str">
        <f t="shared" ca="1" si="90"/>
        <v>Laguna</v>
      </c>
      <c r="E284" s="1">
        <f t="shared" ca="1" si="109"/>
        <v>4</v>
      </c>
      <c r="F284" s="1">
        <f t="shared" ca="1" si="109"/>
        <v>1</v>
      </c>
      <c r="G284">
        <f t="shared" ca="1" si="91"/>
        <v>94</v>
      </c>
      <c r="H284">
        <f t="shared" ca="1" si="92"/>
        <v>239</v>
      </c>
      <c r="I284">
        <f t="shared" ca="1" si="93"/>
        <v>2014</v>
      </c>
      <c r="J284" s="2">
        <f t="shared" ca="1" si="94"/>
        <v>8509025</v>
      </c>
      <c r="K284" s="4">
        <f t="shared" ca="1" si="95"/>
        <v>8002741</v>
      </c>
      <c r="L284" t="str">
        <f t="shared" ca="1" si="96"/>
        <v>Michael Santos</v>
      </c>
      <c r="M284" t="str">
        <f t="shared" ca="1" si="97"/>
        <v>Corporation</v>
      </c>
      <c r="N284" t="str">
        <f t="shared" ca="1" si="98"/>
        <v>Cash</v>
      </c>
      <c r="O284" s="1">
        <f t="shared" ca="1" si="99"/>
        <v>241</v>
      </c>
      <c r="P284" s="2">
        <f t="shared" ca="1" si="100"/>
        <v>240082.22999999998</v>
      </c>
      <c r="Q284" s="2">
        <f t="shared" ca="1" si="101"/>
        <v>-506284</v>
      </c>
      <c r="R284" s="3">
        <f t="shared" ca="1" si="102"/>
        <v>33484.271966527194</v>
      </c>
      <c r="S284">
        <f t="shared" ca="1" si="103"/>
        <v>239</v>
      </c>
      <c r="T284" s="2">
        <f t="shared" ca="1" si="104"/>
        <v>8509025.0594996493</v>
      </c>
      <c r="U284" s="17">
        <f t="shared" si="107"/>
        <v>2021</v>
      </c>
      <c r="V284" s="20" t="str">
        <f t="shared" si="105"/>
        <v>Jan-2021</v>
      </c>
    </row>
    <row r="285" spans="1:22" x14ac:dyDescent="0.3">
      <c r="A285" t="str">
        <f t="shared" si="106"/>
        <v>TX-00285</v>
      </c>
      <c r="B285" s="6">
        <v>44978</v>
      </c>
      <c r="C285" t="str">
        <f t="shared" ca="1" si="89"/>
        <v>Condo</v>
      </c>
      <c r="D285" s="1" t="str">
        <f t="shared" ca="1" si="90"/>
        <v>Makati</v>
      </c>
      <c r="E285" s="1">
        <f t="shared" ca="1" si="109"/>
        <v>4</v>
      </c>
      <c r="F285" s="1">
        <f t="shared" ca="1" si="109"/>
        <v>4</v>
      </c>
      <c r="G285">
        <f t="shared" ca="1" si="91"/>
        <v>68</v>
      </c>
      <c r="H285">
        <f t="shared" ca="1" si="92"/>
        <v>182</v>
      </c>
      <c r="I285">
        <f t="shared" ca="1" si="93"/>
        <v>2016</v>
      </c>
      <c r="J285" s="2">
        <f t="shared" ca="1" si="94"/>
        <v>12358633</v>
      </c>
      <c r="K285" s="4">
        <f t="shared" ca="1" si="95"/>
        <v>2806189</v>
      </c>
      <c r="L285" t="str">
        <f t="shared" ca="1" si="96"/>
        <v>Anna Mendoza</v>
      </c>
      <c r="M285" t="str">
        <f t="shared" ca="1" si="97"/>
        <v>Individual</v>
      </c>
      <c r="N285" t="str">
        <f t="shared" ca="1" si="98"/>
        <v>Pag-IBIG Loan</v>
      </c>
      <c r="O285" s="1">
        <f t="shared" ca="1" si="99"/>
        <v>263</v>
      </c>
      <c r="P285" s="2">
        <f t="shared" ca="1" si="100"/>
        <v>84185.67</v>
      </c>
      <c r="Q285" s="2">
        <f t="shared" ca="1" si="101"/>
        <v>-9552444</v>
      </c>
      <c r="R285" s="3">
        <f t="shared" ca="1" si="102"/>
        <v>41267.48529411765</v>
      </c>
      <c r="S285">
        <f t="shared" ca="1" si="103"/>
        <v>68</v>
      </c>
      <c r="T285" s="2">
        <f t="shared" ca="1" si="104"/>
        <v>12358633.772936942</v>
      </c>
      <c r="U285" s="17">
        <f t="shared" si="107"/>
        <v>2023</v>
      </c>
      <c r="V285" s="20" t="str">
        <f t="shared" si="105"/>
        <v>Feb-2023</v>
      </c>
    </row>
    <row r="286" spans="1:22" x14ac:dyDescent="0.3">
      <c r="A286" t="str">
        <f t="shared" si="106"/>
        <v>TX-00286</v>
      </c>
      <c r="B286" s="6">
        <v>45829</v>
      </c>
      <c r="C286" t="str">
        <f t="shared" ca="1" si="89"/>
        <v>Condo</v>
      </c>
      <c r="D286" s="1" t="str">
        <f t="shared" ca="1" si="90"/>
        <v>Laguna</v>
      </c>
      <c r="E286" s="1">
        <f t="shared" ca="1" si="109"/>
        <v>3</v>
      </c>
      <c r="F286" s="1">
        <f t="shared" ca="1" si="109"/>
        <v>2</v>
      </c>
      <c r="G286">
        <f t="shared" ca="1" si="91"/>
        <v>147</v>
      </c>
      <c r="H286">
        <f t="shared" ca="1" si="92"/>
        <v>63</v>
      </c>
      <c r="I286">
        <f t="shared" ca="1" si="93"/>
        <v>2011</v>
      </c>
      <c r="J286" s="2">
        <f t="shared" ca="1" si="94"/>
        <v>3985880</v>
      </c>
      <c r="K286" s="4">
        <f t="shared" ca="1" si="95"/>
        <v>1607048</v>
      </c>
      <c r="L286" t="str">
        <f t="shared" ca="1" si="96"/>
        <v>John Dela Cruz</v>
      </c>
      <c r="M286" t="str">
        <f t="shared" ca="1" si="97"/>
        <v>Investor</v>
      </c>
      <c r="N286" t="str">
        <f t="shared" ca="1" si="98"/>
        <v>Bank Loan</v>
      </c>
      <c r="O286" s="1">
        <f t="shared" ca="1" si="99"/>
        <v>186</v>
      </c>
      <c r="P286" s="2">
        <f t="shared" ca="1" si="100"/>
        <v>48211.439999999995</v>
      </c>
      <c r="Q286" s="2">
        <f t="shared" ca="1" si="101"/>
        <v>-2378832</v>
      </c>
      <c r="R286" s="3">
        <f t="shared" ca="1" si="102"/>
        <v>10932.299319727892</v>
      </c>
      <c r="S286">
        <f t="shared" ca="1" si="103"/>
        <v>147</v>
      </c>
      <c r="T286" s="2">
        <f t="shared" ca="1" si="104"/>
        <v>3985880.5968147563</v>
      </c>
      <c r="U286" s="17">
        <f t="shared" si="107"/>
        <v>2025</v>
      </c>
      <c r="V286" s="20" t="str">
        <f t="shared" si="105"/>
        <v>Jun-2025</v>
      </c>
    </row>
    <row r="287" spans="1:22" x14ac:dyDescent="0.3">
      <c r="A287" t="str">
        <f t="shared" si="106"/>
        <v>TX-00287</v>
      </c>
      <c r="B287" s="6">
        <v>44848</v>
      </c>
      <c r="C287" t="str">
        <f t="shared" ca="1" si="89"/>
        <v>House &amp; Lot</v>
      </c>
      <c r="D287" s="1" t="str">
        <f t="shared" ca="1" si="90"/>
        <v>Bulacan</v>
      </c>
      <c r="E287" s="1">
        <f t="shared" ca="1" si="109"/>
        <v>1</v>
      </c>
      <c r="F287" s="1">
        <f t="shared" ca="1" si="109"/>
        <v>3</v>
      </c>
      <c r="G287">
        <f t="shared" ca="1" si="91"/>
        <v>102</v>
      </c>
      <c r="H287">
        <f t="shared" ca="1" si="92"/>
        <v>75</v>
      </c>
      <c r="I287">
        <f t="shared" ca="1" si="93"/>
        <v>2013</v>
      </c>
      <c r="J287" s="2">
        <f t="shared" ca="1" si="94"/>
        <v>10709495</v>
      </c>
      <c r="K287" s="4">
        <f t="shared" ca="1" si="95"/>
        <v>5144803</v>
      </c>
      <c r="L287" t="str">
        <f t="shared" ca="1" si="96"/>
        <v>Anna Mendoza</v>
      </c>
      <c r="M287" t="str">
        <f t="shared" ca="1" si="97"/>
        <v>Individual</v>
      </c>
      <c r="N287" t="str">
        <f t="shared" ca="1" si="98"/>
        <v>Bank Loan</v>
      </c>
      <c r="O287" s="1">
        <f t="shared" ca="1" si="99"/>
        <v>349</v>
      </c>
      <c r="P287" s="2">
        <f t="shared" ca="1" si="100"/>
        <v>154344.09</v>
      </c>
      <c r="Q287" s="2">
        <f t="shared" ca="1" si="101"/>
        <v>-5564692</v>
      </c>
      <c r="R287" s="3">
        <f t="shared" ca="1" si="102"/>
        <v>68597.373333333337</v>
      </c>
      <c r="S287">
        <f t="shared" ca="1" si="103"/>
        <v>75</v>
      </c>
      <c r="T287" s="2">
        <f t="shared" ca="1" si="104"/>
        <v>10709495.519603586</v>
      </c>
      <c r="U287" s="17">
        <f t="shared" si="107"/>
        <v>2022</v>
      </c>
      <c r="V287" s="20" t="str">
        <f t="shared" si="105"/>
        <v>Oct-2022</v>
      </c>
    </row>
    <row r="288" spans="1:22" x14ac:dyDescent="0.3">
      <c r="A288" t="str">
        <f t="shared" si="106"/>
        <v>TX-00288</v>
      </c>
      <c r="B288" s="6">
        <v>44621</v>
      </c>
      <c r="C288" t="str">
        <f t="shared" ca="1" si="89"/>
        <v>Commercial</v>
      </c>
      <c r="D288" s="1" t="str">
        <f t="shared" ca="1" si="90"/>
        <v>Cavite</v>
      </c>
      <c r="E288" s="1">
        <f t="shared" ca="1" si="109"/>
        <v>2</v>
      </c>
      <c r="F288" s="1">
        <f t="shared" ca="1" si="109"/>
        <v>3</v>
      </c>
      <c r="G288">
        <f t="shared" ca="1" si="91"/>
        <v>84</v>
      </c>
      <c r="H288">
        <f t="shared" ca="1" si="92"/>
        <v>217</v>
      </c>
      <c r="I288">
        <f t="shared" ca="1" si="93"/>
        <v>2022</v>
      </c>
      <c r="J288" s="2">
        <f t="shared" ca="1" si="94"/>
        <v>4897933</v>
      </c>
      <c r="K288" s="4">
        <f t="shared" ca="1" si="95"/>
        <v>1780634</v>
      </c>
      <c r="L288" t="str">
        <f t="shared" ca="1" si="96"/>
        <v>Daniel Cruz</v>
      </c>
      <c r="M288" t="str">
        <f t="shared" ca="1" si="97"/>
        <v>Corporation</v>
      </c>
      <c r="N288" t="str">
        <f t="shared" ca="1" si="98"/>
        <v>Cash</v>
      </c>
      <c r="O288" s="1">
        <f t="shared" ca="1" si="99"/>
        <v>289</v>
      </c>
      <c r="P288" s="2">
        <f t="shared" ca="1" si="100"/>
        <v>53419.02</v>
      </c>
      <c r="Q288" s="2">
        <f t="shared" ca="1" si="101"/>
        <v>-3117299</v>
      </c>
      <c r="R288" s="3">
        <f t="shared" ca="1" si="102"/>
        <v>8205.6866359447013</v>
      </c>
      <c r="S288">
        <f t="shared" ca="1" si="103"/>
        <v>217</v>
      </c>
      <c r="T288" s="2">
        <f t="shared" ca="1" si="104"/>
        <v>4897933.6364519484</v>
      </c>
      <c r="U288" s="17">
        <f t="shared" si="107"/>
        <v>2022</v>
      </c>
      <c r="V288" s="20" t="str">
        <f t="shared" si="105"/>
        <v>Mar-2022</v>
      </c>
    </row>
    <row r="289" spans="1:22" x14ac:dyDescent="0.3">
      <c r="A289" t="str">
        <f t="shared" si="106"/>
        <v>TX-00289</v>
      </c>
      <c r="B289" s="6">
        <v>43482</v>
      </c>
      <c r="C289" t="str">
        <f t="shared" ca="1" si="89"/>
        <v>House &amp; Lot</v>
      </c>
      <c r="D289" s="1" t="str">
        <f t="shared" ca="1" si="90"/>
        <v>Cavite</v>
      </c>
      <c r="E289" s="1">
        <f t="shared" ca="1" si="109"/>
        <v>1</v>
      </c>
      <c r="F289" s="1">
        <f t="shared" ca="1" si="109"/>
        <v>4</v>
      </c>
      <c r="G289">
        <f t="shared" ca="1" si="91"/>
        <v>161</v>
      </c>
      <c r="H289">
        <f t="shared" ca="1" si="92"/>
        <v>235</v>
      </c>
      <c r="I289">
        <f t="shared" ca="1" si="93"/>
        <v>2015</v>
      </c>
      <c r="J289" s="2">
        <f t="shared" ca="1" si="94"/>
        <v>8018733</v>
      </c>
      <c r="K289" s="4">
        <f t="shared" ca="1" si="95"/>
        <v>2339696</v>
      </c>
      <c r="L289" t="str">
        <f t="shared" ca="1" si="96"/>
        <v>Joy Ramos</v>
      </c>
      <c r="M289" t="str">
        <f t="shared" ca="1" si="97"/>
        <v>Corporation</v>
      </c>
      <c r="N289" t="str">
        <f t="shared" ca="1" si="98"/>
        <v>Pag-IBIG Loan</v>
      </c>
      <c r="O289" s="1">
        <f t="shared" ca="1" si="99"/>
        <v>339</v>
      </c>
      <c r="P289" s="2">
        <f t="shared" ca="1" si="100"/>
        <v>70190.880000000005</v>
      </c>
      <c r="Q289" s="2">
        <f t="shared" ca="1" si="101"/>
        <v>-5679037</v>
      </c>
      <c r="R289" s="3">
        <f t="shared" ca="1" si="102"/>
        <v>9956.1531914893621</v>
      </c>
      <c r="S289">
        <f t="shared" ca="1" si="103"/>
        <v>235</v>
      </c>
      <c r="T289" s="2">
        <f t="shared" ca="1" si="104"/>
        <v>8018733.7082212362</v>
      </c>
      <c r="U289" s="17">
        <f t="shared" si="107"/>
        <v>2019</v>
      </c>
      <c r="V289" s="20" t="str">
        <f t="shared" si="105"/>
        <v>Jan-2019</v>
      </c>
    </row>
    <row r="290" spans="1:22" x14ac:dyDescent="0.3">
      <c r="A290" t="str">
        <f t="shared" si="106"/>
        <v>TX-00290</v>
      </c>
      <c r="B290" s="6">
        <v>43318</v>
      </c>
      <c r="C290" t="str">
        <f t="shared" ca="1" si="89"/>
        <v>House &amp; Lot</v>
      </c>
      <c r="D290" s="1" t="str">
        <f t="shared" ca="1" si="90"/>
        <v>Makati</v>
      </c>
      <c r="E290" s="1">
        <f t="shared" ca="1" si="109"/>
        <v>4</v>
      </c>
      <c r="F290" s="1">
        <f t="shared" ca="1" si="109"/>
        <v>4</v>
      </c>
      <c r="G290">
        <f t="shared" ca="1" si="91"/>
        <v>130</v>
      </c>
      <c r="H290">
        <f t="shared" ca="1" si="92"/>
        <v>135</v>
      </c>
      <c r="I290">
        <f t="shared" ca="1" si="93"/>
        <v>2018</v>
      </c>
      <c r="J290" s="2">
        <f t="shared" ca="1" si="94"/>
        <v>9796795</v>
      </c>
      <c r="K290" s="4">
        <f t="shared" ca="1" si="95"/>
        <v>5245502</v>
      </c>
      <c r="L290" t="str">
        <f t="shared" ca="1" si="96"/>
        <v>Rachel Villanueva</v>
      </c>
      <c r="M290" t="str">
        <f t="shared" ca="1" si="97"/>
        <v>Investor</v>
      </c>
      <c r="N290" t="str">
        <f t="shared" ca="1" si="98"/>
        <v>Cash</v>
      </c>
      <c r="O290" s="1">
        <f t="shared" ca="1" si="99"/>
        <v>355</v>
      </c>
      <c r="P290" s="2">
        <f t="shared" ca="1" si="100"/>
        <v>157365.06</v>
      </c>
      <c r="Q290" s="2">
        <f t="shared" ca="1" si="101"/>
        <v>-4551293</v>
      </c>
      <c r="R290" s="3">
        <f t="shared" ca="1" si="102"/>
        <v>38855.570370370369</v>
      </c>
      <c r="S290">
        <f t="shared" ca="1" si="103"/>
        <v>135</v>
      </c>
      <c r="T290" s="2">
        <f t="shared" ca="1" si="104"/>
        <v>9796795.4645695854</v>
      </c>
      <c r="U290" s="17">
        <f t="shared" si="107"/>
        <v>2018</v>
      </c>
      <c r="V290" s="20" t="str">
        <f t="shared" si="105"/>
        <v>Aug-2018</v>
      </c>
    </row>
    <row r="291" spans="1:22" x14ac:dyDescent="0.3">
      <c r="A291" t="str">
        <f t="shared" si="106"/>
        <v>TX-00291</v>
      </c>
      <c r="B291" s="6">
        <v>43657</v>
      </c>
      <c r="C291" t="str">
        <f t="shared" ca="1" si="89"/>
        <v>House &amp; Lot</v>
      </c>
      <c r="D291" s="1" t="str">
        <f t="shared" ca="1" si="90"/>
        <v>Cavite</v>
      </c>
      <c r="E291" s="1">
        <f t="shared" ca="1" si="109"/>
        <v>1</v>
      </c>
      <c r="F291" s="1">
        <f t="shared" ca="1" si="109"/>
        <v>3</v>
      </c>
      <c r="G291">
        <f t="shared" ca="1" si="91"/>
        <v>169</v>
      </c>
      <c r="H291">
        <f t="shared" ca="1" si="92"/>
        <v>175</v>
      </c>
      <c r="I291">
        <f t="shared" ca="1" si="93"/>
        <v>2018</v>
      </c>
      <c r="J291" s="2">
        <f t="shared" ca="1" si="94"/>
        <v>12787423</v>
      </c>
      <c r="K291" s="4">
        <f t="shared" ca="1" si="95"/>
        <v>11349062</v>
      </c>
      <c r="L291" t="str">
        <f t="shared" ca="1" si="96"/>
        <v>Mark Reyes</v>
      </c>
      <c r="M291" t="str">
        <f t="shared" ca="1" si="97"/>
        <v>OFW</v>
      </c>
      <c r="N291" t="str">
        <f t="shared" ca="1" si="98"/>
        <v>Pag-IBIG Loan</v>
      </c>
      <c r="O291" s="1">
        <f t="shared" ca="1" si="99"/>
        <v>183</v>
      </c>
      <c r="P291" s="2">
        <f t="shared" ca="1" si="100"/>
        <v>340471.86</v>
      </c>
      <c r="Q291" s="2">
        <f t="shared" ca="1" si="101"/>
        <v>-1438361</v>
      </c>
      <c r="R291" s="3">
        <f t="shared" ca="1" si="102"/>
        <v>64851.782857142854</v>
      </c>
      <c r="S291">
        <f t="shared" ca="1" si="103"/>
        <v>175</v>
      </c>
      <c r="T291" s="2">
        <f t="shared" ca="1" si="104"/>
        <v>12787423.112482475</v>
      </c>
      <c r="U291" s="17">
        <f t="shared" si="107"/>
        <v>2019</v>
      </c>
      <c r="V291" s="20" t="str">
        <f t="shared" si="105"/>
        <v>Jul-2019</v>
      </c>
    </row>
    <row r="292" spans="1:22" x14ac:dyDescent="0.3">
      <c r="A292" t="str">
        <f t="shared" si="106"/>
        <v>TX-00292</v>
      </c>
      <c r="B292" s="6">
        <v>46010</v>
      </c>
      <c r="C292" t="str">
        <f t="shared" ca="1" si="89"/>
        <v>House &amp; Lot</v>
      </c>
      <c r="D292" s="1" t="str">
        <f t="shared" ca="1" si="90"/>
        <v>Cavite</v>
      </c>
      <c r="E292" s="1">
        <f t="shared" ca="1" si="109"/>
        <v>2</v>
      </c>
      <c r="F292" s="1">
        <f t="shared" ca="1" si="109"/>
        <v>2</v>
      </c>
      <c r="G292">
        <f t="shared" ca="1" si="91"/>
        <v>93</v>
      </c>
      <c r="H292">
        <f t="shared" ca="1" si="92"/>
        <v>101</v>
      </c>
      <c r="I292">
        <f t="shared" ca="1" si="93"/>
        <v>2010</v>
      </c>
      <c r="J292" s="2">
        <f t="shared" ca="1" si="94"/>
        <v>8873450</v>
      </c>
      <c r="K292" s="4">
        <f t="shared" ca="1" si="95"/>
        <v>10499926</v>
      </c>
      <c r="L292" t="str">
        <f t="shared" ca="1" si="96"/>
        <v>Rachel Villanueva</v>
      </c>
      <c r="M292" t="str">
        <f t="shared" ca="1" si="97"/>
        <v>Investor</v>
      </c>
      <c r="N292" t="str">
        <f t="shared" ca="1" si="98"/>
        <v>Pag-IBIG Loan</v>
      </c>
      <c r="O292" s="1">
        <f t="shared" ca="1" si="99"/>
        <v>169</v>
      </c>
      <c r="P292" s="2">
        <f t="shared" ca="1" si="100"/>
        <v>314997.77999999997</v>
      </c>
      <c r="Q292" s="2">
        <f t="shared" ca="1" si="101"/>
        <v>1626476</v>
      </c>
      <c r="R292" s="3">
        <f t="shared" ca="1" si="102"/>
        <v>103959.66336633664</v>
      </c>
      <c r="S292">
        <f t="shared" ca="1" si="103"/>
        <v>101</v>
      </c>
      <c r="T292" s="2">
        <f t="shared" ca="1" si="104"/>
        <v>8873449.8167030867</v>
      </c>
      <c r="U292" s="17">
        <f t="shared" si="107"/>
        <v>2025</v>
      </c>
      <c r="V292" s="20" t="str">
        <f t="shared" si="105"/>
        <v>Dec-2025</v>
      </c>
    </row>
    <row r="293" spans="1:22" x14ac:dyDescent="0.3">
      <c r="A293" t="str">
        <f t="shared" si="106"/>
        <v>TX-00293</v>
      </c>
      <c r="B293" s="6">
        <v>44835</v>
      </c>
      <c r="C293" t="str">
        <f t="shared" ca="1" si="89"/>
        <v>Commercial</v>
      </c>
      <c r="D293" s="1" t="str">
        <f t="shared" ca="1" si="90"/>
        <v>Cavite</v>
      </c>
      <c r="E293" s="1">
        <f t="shared" ca="1" si="109"/>
        <v>2</v>
      </c>
      <c r="F293" s="1">
        <f t="shared" ca="1" si="109"/>
        <v>4</v>
      </c>
      <c r="G293">
        <f t="shared" ca="1" si="91"/>
        <v>47</v>
      </c>
      <c r="H293">
        <f t="shared" ca="1" si="92"/>
        <v>171</v>
      </c>
      <c r="I293">
        <f t="shared" ca="1" si="93"/>
        <v>2023</v>
      </c>
      <c r="J293" s="2">
        <f t="shared" ca="1" si="94"/>
        <v>8976208</v>
      </c>
      <c r="K293" s="4">
        <f t="shared" ca="1" si="95"/>
        <v>9179979</v>
      </c>
      <c r="L293" t="str">
        <f t="shared" ca="1" si="96"/>
        <v>Daniel Cruz</v>
      </c>
      <c r="M293" t="str">
        <f t="shared" ca="1" si="97"/>
        <v>Investor</v>
      </c>
      <c r="N293" t="str">
        <f t="shared" ca="1" si="98"/>
        <v>Cash</v>
      </c>
      <c r="O293" s="1">
        <f t="shared" ca="1" si="99"/>
        <v>268</v>
      </c>
      <c r="P293" s="2">
        <f t="shared" ca="1" si="100"/>
        <v>275399.37</v>
      </c>
      <c r="Q293" s="2">
        <f t="shared" ca="1" si="101"/>
        <v>203771</v>
      </c>
      <c r="R293" s="3">
        <f t="shared" ca="1" si="102"/>
        <v>53684.087719298244</v>
      </c>
      <c r="S293">
        <f t="shared" ca="1" si="103"/>
        <v>171</v>
      </c>
      <c r="T293" s="2">
        <f t="shared" ca="1" si="104"/>
        <v>8976207.9772987664</v>
      </c>
      <c r="U293" s="17">
        <f t="shared" si="107"/>
        <v>2022</v>
      </c>
      <c r="V293" s="20" t="str">
        <f t="shared" si="105"/>
        <v>Oct-2022</v>
      </c>
    </row>
    <row r="294" spans="1:22" x14ac:dyDescent="0.3">
      <c r="A294" t="str">
        <f t="shared" si="106"/>
        <v>TX-00294</v>
      </c>
      <c r="B294" s="6">
        <v>43566</v>
      </c>
      <c r="C294" t="str">
        <f t="shared" ca="1" si="89"/>
        <v>House &amp; Lot</v>
      </c>
      <c r="D294" s="1" t="str">
        <f t="shared" ca="1" si="90"/>
        <v>Makati</v>
      </c>
      <c r="E294" s="1">
        <f t="shared" ca="1" si="109"/>
        <v>1</v>
      </c>
      <c r="F294" s="1">
        <f t="shared" ca="1" si="109"/>
        <v>3</v>
      </c>
      <c r="G294">
        <f t="shared" ca="1" si="91"/>
        <v>143</v>
      </c>
      <c r="H294">
        <f t="shared" ca="1" si="92"/>
        <v>80</v>
      </c>
      <c r="I294">
        <f t="shared" ca="1" si="93"/>
        <v>2023</v>
      </c>
      <c r="J294" s="2">
        <f t="shared" ca="1" si="94"/>
        <v>10385657</v>
      </c>
      <c r="K294" s="4">
        <f t="shared" ca="1" si="95"/>
        <v>7369466</v>
      </c>
      <c r="L294" t="str">
        <f t="shared" ca="1" si="96"/>
        <v>Michael Santos</v>
      </c>
      <c r="M294" t="str">
        <f t="shared" ca="1" si="97"/>
        <v>Individual</v>
      </c>
      <c r="N294" t="str">
        <f t="shared" ca="1" si="98"/>
        <v>Pag-IBIG Loan</v>
      </c>
      <c r="O294" s="1">
        <f t="shared" ca="1" si="99"/>
        <v>116</v>
      </c>
      <c r="P294" s="2">
        <f t="shared" ca="1" si="100"/>
        <v>221083.97999999998</v>
      </c>
      <c r="Q294" s="2">
        <f t="shared" ca="1" si="101"/>
        <v>-3016191</v>
      </c>
      <c r="R294" s="3">
        <f t="shared" ca="1" si="102"/>
        <v>92118.324999999997</v>
      </c>
      <c r="S294">
        <f t="shared" ca="1" si="103"/>
        <v>80</v>
      </c>
      <c r="T294" s="2">
        <f t="shared" ca="1" si="104"/>
        <v>10385657.290418891</v>
      </c>
      <c r="U294" s="17">
        <f t="shared" si="107"/>
        <v>2019</v>
      </c>
      <c r="V294" s="20" t="str">
        <f t="shared" si="105"/>
        <v>Apr-2019</v>
      </c>
    </row>
    <row r="295" spans="1:22" x14ac:dyDescent="0.3">
      <c r="A295" t="str">
        <f t="shared" si="106"/>
        <v>TX-00295</v>
      </c>
      <c r="B295" s="6">
        <v>44123</v>
      </c>
      <c r="C295" t="str">
        <f t="shared" ca="1" si="89"/>
        <v>Condo</v>
      </c>
      <c r="D295" s="1" t="str">
        <f t="shared" ca="1" si="90"/>
        <v>Laguna</v>
      </c>
      <c r="E295" s="1">
        <f t="shared" ca="1" si="109"/>
        <v>2</v>
      </c>
      <c r="F295" s="1">
        <f t="shared" ca="1" si="109"/>
        <v>1</v>
      </c>
      <c r="G295">
        <f t="shared" ca="1" si="91"/>
        <v>198</v>
      </c>
      <c r="H295">
        <f t="shared" ca="1" si="92"/>
        <v>192</v>
      </c>
      <c r="I295">
        <f t="shared" ca="1" si="93"/>
        <v>2011</v>
      </c>
      <c r="J295" s="2">
        <f t="shared" ca="1" si="94"/>
        <v>12210299</v>
      </c>
      <c r="K295" s="4">
        <f t="shared" ca="1" si="95"/>
        <v>5082537</v>
      </c>
      <c r="L295" t="str">
        <f t="shared" ca="1" si="96"/>
        <v>Rachel Villanueva</v>
      </c>
      <c r="M295" t="str">
        <f t="shared" ca="1" si="97"/>
        <v>Corporation</v>
      </c>
      <c r="N295" t="str">
        <f t="shared" ca="1" si="98"/>
        <v>Pag-IBIG Loan</v>
      </c>
      <c r="O295" s="1">
        <f t="shared" ca="1" si="99"/>
        <v>390</v>
      </c>
      <c r="P295" s="2">
        <f t="shared" ca="1" si="100"/>
        <v>152476.10999999999</v>
      </c>
      <c r="Q295" s="2">
        <f t="shared" ca="1" si="101"/>
        <v>-7127762</v>
      </c>
      <c r="R295" s="3">
        <f t="shared" ca="1" si="102"/>
        <v>25669.378787878788</v>
      </c>
      <c r="S295">
        <f t="shared" ca="1" si="103"/>
        <v>198</v>
      </c>
      <c r="T295" s="2">
        <f t="shared" ca="1" si="104"/>
        <v>12210299.583749996</v>
      </c>
      <c r="U295" s="17">
        <f t="shared" si="107"/>
        <v>2020</v>
      </c>
      <c r="V295" s="20" t="str">
        <f t="shared" si="105"/>
        <v>Oct-2020</v>
      </c>
    </row>
    <row r="296" spans="1:22" x14ac:dyDescent="0.3">
      <c r="A296" t="str">
        <f t="shared" si="106"/>
        <v>TX-00296</v>
      </c>
      <c r="B296" s="6">
        <v>46084</v>
      </c>
      <c r="C296" t="str">
        <f t="shared" ca="1" si="89"/>
        <v>Commercial</v>
      </c>
      <c r="D296" s="1" t="str">
        <f t="shared" ca="1" si="90"/>
        <v>Makati</v>
      </c>
      <c r="E296" s="1">
        <f t="shared" ca="1" si="109"/>
        <v>1</v>
      </c>
      <c r="F296" s="1">
        <f t="shared" ca="1" si="109"/>
        <v>4</v>
      </c>
      <c r="G296">
        <f t="shared" ca="1" si="91"/>
        <v>74</v>
      </c>
      <c r="H296">
        <f t="shared" ca="1" si="92"/>
        <v>52</v>
      </c>
      <c r="I296">
        <f t="shared" ca="1" si="93"/>
        <v>2017</v>
      </c>
      <c r="J296" s="2">
        <f t="shared" ca="1" si="94"/>
        <v>9601377</v>
      </c>
      <c r="K296" s="4">
        <f t="shared" ca="1" si="95"/>
        <v>4717176</v>
      </c>
      <c r="L296" t="str">
        <f t="shared" ca="1" si="96"/>
        <v>Michelle Flores</v>
      </c>
      <c r="M296" t="str">
        <f t="shared" ca="1" si="97"/>
        <v>Corporation</v>
      </c>
      <c r="N296" t="str">
        <f t="shared" ca="1" si="98"/>
        <v>Pag-IBIG Loan</v>
      </c>
      <c r="O296" s="1">
        <f t="shared" ca="1" si="99"/>
        <v>263</v>
      </c>
      <c r="P296" s="2">
        <f t="shared" ca="1" si="100"/>
        <v>141515.28</v>
      </c>
      <c r="Q296" s="2">
        <f t="shared" ca="1" si="101"/>
        <v>-4884201</v>
      </c>
      <c r="R296" s="3">
        <f t="shared" ca="1" si="102"/>
        <v>90714.923076923078</v>
      </c>
      <c r="S296">
        <f t="shared" ca="1" si="103"/>
        <v>52</v>
      </c>
      <c r="T296" s="2">
        <f t="shared" ca="1" si="104"/>
        <v>9601377.5086979717</v>
      </c>
      <c r="U296" s="17">
        <f t="shared" si="107"/>
        <v>2026</v>
      </c>
      <c r="V296" s="20" t="str">
        <f t="shared" si="105"/>
        <v>Mar-2026</v>
      </c>
    </row>
    <row r="297" spans="1:22" x14ac:dyDescent="0.3">
      <c r="A297" t="str">
        <f t="shared" si="106"/>
        <v>TX-00297</v>
      </c>
      <c r="B297" s="6">
        <v>43599</v>
      </c>
      <c r="C297" t="str">
        <f t="shared" ca="1" si="89"/>
        <v>Condo</v>
      </c>
      <c r="D297" s="1" t="str">
        <f t="shared" ca="1" si="90"/>
        <v>Laguna</v>
      </c>
      <c r="E297" s="1">
        <f t="shared" ca="1" si="109"/>
        <v>3</v>
      </c>
      <c r="F297" s="1">
        <f t="shared" ca="1" si="109"/>
        <v>2</v>
      </c>
      <c r="G297">
        <f t="shared" ca="1" si="91"/>
        <v>135</v>
      </c>
      <c r="H297">
        <f t="shared" ca="1" si="92"/>
        <v>139</v>
      </c>
      <c r="I297">
        <f t="shared" ca="1" si="93"/>
        <v>2022</v>
      </c>
      <c r="J297" s="2">
        <f t="shared" ca="1" si="94"/>
        <v>3230428</v>
      </c>
      <c r="K297" s="4">
        <f t="shared" ca="1" si="95"/>
        <v>9398559</v>
      </c>
      <c r="L297" t="str">
        <f t="shared" ca="1" si="96"/>
        <v>Mary Garcia</v>
      </c>
      <c r="M297" t="str">
        <f t="shared" ca="1" si="97"/>
        <v>Individual</v>
      </c>
      <c r="N297" t="str">
        <f t="shared" ca="1" si="98"/>
        <v>Installment</v>
      </c>
      <c r="O297" s="1">
        <f t="shared" ca="1" si="99"/>
        <v>249</v>
      </c>
      <c r="P297" s="2">
        <f t="shared" ca="1" si="100"/>
        <v>281956.77</v>
      </c>
      <c r="Q297" s="2">
        <f t="shared" ca="1" si="101"/>
        <v>6168131</v>
      </c>
      <c r="R297" s="3">
        <f t="shared" ca="1" si="102"/>
        <v>69618.955555555556</v>
      </c>
      <c r="S297">
        <f t="shared" ca="1" si="103"/>
        <v>135</v>
      </c>
      <c r="T297" s="2">
        <f t="shared" ca="1" si="104"/>
        <v>3230426.0906149279</v>
      </c>
      <c r="U297" s="17">
        <f t="shared" si="107"/>
        <v>2019</v>
      </c>
      <c r="V297" s="20" t="str">
        <f t="shared" si="105"/>
        <v>May-2019</v>
      </c>
    </row>
    <row r="298" spans="1:22" x14ac:dyDescent="0.3">
      <c r="A298" t="str">
        <f t="shared" si="106"/>
        <v>TX-00298</v>
      </c>
      <c r="B298" s="6">
        <v>44328</v>
      </c>
      <c r="C298" t="str">
        <f t="shared" ca="1" si="89"/>
        <v>House &amp; Lot</v>
      </c>
      <c r="D298" s="1" t="str">
        <f t="shared" ca="1" si="90"/>
        <v>Bulacan</v>
      </c>
      <c r="E298" s="1">
        <f t="shared" ca="1" si="109"/>
        <v>1</v>
      </c>
      <c r="F298" s="1">
        <f t="shared" ca="1" si="109"/>
        <v>2</v>
      </c>
      <c r="G298">
        <f t="shared" ca="1" si="91"/>
        <v>128</v>
      </c>
      <c r="H298">
        <f t="shared" ca="1" si="92"/>
        <v>222</v>
      </c>
      <c r="I298">
        <f t="shared" ca="1" si="93"/>
        <v>2020</v>
      </c>
      <c r="J298" s="2">
        <f t="shared" ca="1" si="94"/>
        <v>7230609</v>
      </c>
      <c r="K298" s="4">
        <f t="shared" ca="1" si="95"/>
        <v>9959993</v>
      </c>
      <c r="L298" t="str">
        <f t="shared" ca="1" si="96"/>
        <v>Mary Garcia</v>
      </c>
      <c r="M298" t="str">
        <f t="shared" ca="1" si="97"/>
        <v>OFW</v>
      </c>
      <c r="N298" t="str">
        <f t="shared" ca="1" si="98"/>
        <v>Cash</v>
      </c>
      <c r="O298" s="1">
        <f t="shared" ca="1" si="99"/>
        <v>172</v>
      </c>
      <c r="P298" s="2">
        <f t="shared" ca="1" si="100"/>
        <v>298799.78999999998</v>
      </c>
      <c r="Q298" s="2">
        <f t="shared" ca="1" si="101"/>
        <v>2729384</v>
      </c>
      <c r="R298" s="3">
        <f t="shared" ca="1" si="102"/>
        <v>44864.833333333336</v>
      </c>
      <c r="S298">
        <f t="shared" ca="1" si="103"/>
        <v>222</v>
      </c>
      <c r="T298" s="2">
        <f t="shared" ca="1" si="104"/>
        <v>7230608.6225236356</v>
      </c>
      <c r="U298" s="17">
        <f t="shared" si="107"/>
        <v>2021</v>
      </c>
      <c r="V298" s="20" t="str">
        <f t="shared" si="105"/>
        <v>May-2021</v>
      </c>
    </row>
    <row r="299" spans="1:22" x14ac:dyDescent="0.3">
      <c r="A299" t="str">
        <f t="shared" si="106"/>
        <v>TX-00299</v>
      </c>
      <c r="B299" s="6">
        <v>43242</v>
      </c>
      <c r="C299" t="str">
        <f t="shared" ca="1" si="89"/>
        <v>Commercial</v>
      </c>
      <c r="D299" s="1" t="str">
        <f t="shared" ca="1" si="90"/>
        <v>Makati</v>
      </c>
      <c r="E299" s="1">
        <f t="shared" ca="1" si="109"/>
        <v>1</v>
      </c>
      <c r="F299" s="1">
        <f t="shared" ca="1" si="109"/>
        <v>4</v>
      </c>
      <c r="G299">
        <f t="shared" ca="1" si="91"/>
        <v>60</v>
      </c>
      <c r="H299">
        <f t="shared" ca="1" si="92"/>
        <v>73</v>
      </c>
      <c r="I299">
        <f t="shared" ca="1" si="93"/>
        <v>2023</v>
      </c>
      <c r="J299" s="2">
        <f t="shared" ca="1" si="94"/>
        <v>8754489</v>
      </c>
      <c r="K299" s="4">
        <f t="shared" ca="1" si="95"/>
        <v>4948782</v>
      </c>
      <c r="L299" t="str">
        <f t="shared" ca="1" si="96"/>
        <v>John Dela Cruz</v>
      </c>
      <c r="M299" t="str">
        <f t="shared" ca="1" si="97"/>
        <v>Investor</v>
      </c>
      <c r="N299" t="str">
        <f t="shared" ca="1" si="98"/>
        <v>Bank Loan</v>
      </c>
      <c r="O299" s="1">
        <f t="shared" ca="1" si="99"/>
        <v>264</v>
      </c>
      <c r="P299" s="2">
        <f t="shared" ca="1" si="100"/>
        <v>148463.46</v>
      </c>
      <c r="Q299" s="2">
        <f t="shared" ca="1" si="101"/>
        <v>-3805707</v>
      </c>
      <c r="R299" s="3">
        <f t="shared" ca="1" si="102"/>
        <v>67791.534246575349</v>
      </c>
      <c r="S299">
        <f t="shared" ca="1" si="103"/>
        <v>73</v>
      </c>
      <c r="T299" s="2">
        <f t="shared" ca="1" si="104"/>
        <v>8754489.4347149208</v>
      </c>
      <c r="U299" s="17">
        <f t="shared" si="107"/>
        <v>2018</v>
      </c>
      <c r="V299" s="20" t="str">
        <f t="shared" si="105"/>
        <v>May-2018</v>
      </c>
    </row>
    <row r="300" spans="1:22" x14ac:dyDescent="0.3">
      <c r="A300" t="str">
        <f t="shared" si="106"/>
        <v>TX-00300</v>
      </c>
      <c r="B300" s="6">
        <v>43925</v>
      </c>
      <c r="C300" t="str">
        <f t="shared" ca="1" si="89"/>
        <v>Land</v>
      </c>
      <c r="D300" s="1" t="str">
        <f t="shared" ca="1" si="90"/>
        <v>Makati</v>
      </c>
      <c r="E300" s="1">
        <f t="shared" ca="1" si="109"/>
        <v>4</v>
      </c>
      <c r="F300" s="1">
        <f t="shared" ca="1" si="109"/>
        <v>1</v>
      </c>
      <c r="G300">
        <f t="shared" ca="1" si="91"/>
        <v>162</v>
      </c>
      <c r="H300">
        <f t="shared" ca="1" si="92"/>
        <v>92</v>
      </c>
      <c r="I300">
        <f t="shared" ca="1" si="93"/>
        <v>2020</v>
      </c>
      <c r="J300" s="2">
        <f t="shared" ca="1" si="94"/>
        <v>10864372</v>
      </c>
      <c r="K300" s="4">
        <f t="shared" ca="1" si="95"/>
        <v>4826020</v>
      </c>
      <c r="L300" t="str">
        <f t="shared" ca="1" si="96"/>
        <v>Mark Reyes</v>
      </c>
      <c r="M300" t="str">
        <f t="shared" ca="1" si="97"/>
        <v>OFW</v>
      </c>
      <c r="N300" t="str">
        <f t="shared" ca="1" si="98"/>
        <v>Pag-IBIG Loan</v>
      </c>
      <c r="O300" s="1">
        <f t="shared" ca="1" si="99"/>
        <v>213</v>
      </c>
      <c r="P300" s="2">
        <f t="shared" ca="1" si="100"/>
        <v>144780.6</v>
      </c>
      <c r="Q300" s="2">
        <f t="shared" ca="1" si="101"/>
        <v>-6038352</v>
      </c>
      <c r="R300" s="3">
        <f t="shared" ca="1" si="102"/>
        <v>52456.739130434784</v>
      </c>
      <c r="S300">
        <f t="shared" ca="1" si="103"/>
        <v>92</v>
      </c>
      <c r="T300" s="2">
        <f t="shared" ca="1" si="104"/>
        <v>10864372.55579393</v>
      </c>
      <c r="U300" s="17">
        <f t="shared" si="107"/>
        <v>2020</v>
      </c>
      <c r="V300" s="20" t="str">
        <f t="shared" si="105"/>
        <v>Apr-2020</v>
      </c>
    </row>
    <row r="301" spans="1:22" x14ac:dyDescent="0.3">
      <c r="A301" t="str">
        <f t="shared" si="106"/>
        <v>TX-00301</v>
      </c>
      <c r="B301" s="6">
        <v>43941</v>
      </c>
      <c r="C301" t="str">
        <f t="shared" ca="1" si="89"/>
        <v>Land</v>
      </c>
      <c r="D301" s="1" t="str">
        <f t="shared" ca="1" si="90"/>
        <v>Bulacan</v>
      </c>
      <c r="E301" s="1">
        <f t="shared" ca="1" si="109"/>
        <v>1</v>
      </c>
      <c r="F301" s="1">
        <f t="shared" ca="1" si="109"/>
        <v>3</v>
      </c>
      <c r="G301">
        <f t="shared" ca="1" si="91"/>
        <v>194</v>
      </c>
      <c r="H301">
        <f t="shared" ca="1" si="92"/>
        <v>129</v>
      </c>
      <c r="I301">
        <f t="shared" ca="1" si="93"/>
        <v>2012</v>
      </c>
      <c r="J301" s="2">
        <f t="shared" ca="1" si="94"/>
        <v>12792579</v>
      </c>
      <c r="K301" s="4">
        <f t="shared" ca="1" si="95"/>
        <v>10895085</v>
      </c>
      <c r="L301" t="str">
        <f t="shared" ca="1" si="96"/>
        <v>Anna Mendoza</v>
      </c>
      <c r="M301" t="str">
        <f t="shared" ca="1" si="97"/>
        <v>Investor</v>
      </c>
      <c r="N301" t="str">
        <f t="shared" ca="1" si="98"/>
        <v>Bank Loan</v>
      </c>
      <c r="O301" s="1">
        <f t="shared" ca="1" si="99"/>
        <v>126</v>
      </c>
      <c r="P301" s="2">
        <f t="shared" ca="1" si="100"/>
        <v>326852.55</v>
      </c>
      <c r="Q301" s="2">
        <f t="shared" ca="1" si="101"/>
        <v>-1897494</v>
      </c>
      <c r="R301" s="3">
        <f t="shared" ca="1" si="102"/>
        <v>84458.023255813954</v>
      </c>
      <c r="S301">
        <f t="shared" ca="1" si="103"/>
        <v>129</v>
      </c>
      <c r="T301" s="2">
        <f t="shared" ca="1" si="104"/>
        <v>12792579.148327714</v>
      </c>
      <c r="U301" s="17">
        <f t="shared" si="107"/>
        <v>2020</v>
      </c>
      <c r="V301" s="20" t="str">
        <f t="shared" si="105"/>
        <v>Apr-2020</v>
      </c>
    </row>
    <row r="302" spans="1:22" x14ac:dyDescent="0.3">
      <c r="A302" t="str">
        <f t="shared" si="106"/>
        <v>TX-00302</v>
      </c>
      <c r="B302" s="6">
        <v>43787</v>
      </c>
      <c r="C302" t="str">
        <f t="shared" ca="1" si="89"/>
        <v>Condo</v>
      </c>
      <c r="D302" s="1" t="str">
        <f t="shared" ca="1" si="90"/>
        <v>Laguna</v>
      </c>
      <c r="E302" s="1">
        <f t="shared" ref="E302:F321" ca="1" si="110">RANDBETWEEN(1,4)</f>
        <v>3</v>
      </c>
      <c r="F302" s="1">
        <f t="shared" ca="1" si="110"/>
        <v>3</v>
      </c>
      <c r="G302">
        <f t="shared" ca="1" si="91"/>
        <v>132</v>
      </c>
      <c r="H302">
        <f t="shared" ca="1" si="92"/>
        <v>250</v>
      </c>
      <c r="I302">
        <f t="shared" ca="1" si="93"/>
        <v>2017</v>
      </c>
      <c r="J302" s="2">
        <f t="shared" ca="1" si="94"/>
        <v>6638938</v>
      </c>
      <c r="K302" s="4">
        <f t="shared" ca="1" si="95"/>
        <v>6342072</v>
      </c>
      <c r="L302" t="str">
        <f t="shared" ca="1" si="96"/>
        <v>Michelle Flores</v>
      </c>
      <c r="M302" t="str">
        <f t="shared" ca="1" si="97"/>
        <v>Individual</v>
      </c>
      <c r="N302" t="str">
        <f t="shared" ca="1" si="98"/>
        <v>Bank Loan</v>
      </c>
      <c r="O302" s="1">
        <f t="shared" ca="1" si="99"/>
        <v>187</v>
      </c>
      <c r="P302" s="2">
        <f t="shared" ca="1" si="100"/>
        <v>190262.16</v>
      </c>
      <c r="Q302" s="2">
        <f t="shared" ca="1" si="101"/>
        <v>-296866</v>
      </c>
      <c r="R302" s="3">
        <f t="shared" ca="1" si="102"/>
        <v>48046</v>
      </c>
      <c r="S302">
        <f t="shared" ca="1" si="103"/>
        <v>132</v>
      </c>
      <c r="T302" s="2">
        <f t="shared" ca="1" si="104"/>
        <v>6638938.0447158869</v>
      </c>
      <c r="U302" s="17">
        <f t="shared" si="107"/>
        <v>2019</v>
      </c>
      <c r="V302" s="20" t="str">
        <f t="shared" si="105"/>
        <v>Nov-2019</v>
      </c>
    </row>
    <row r="303" spans="1:22" x14ac:dyDescent="0.3">
      <c r="A303" t="str">
        <f t="shared" si="106"/>
        <v>TX-00303</v>
      </c>
      <c r="B303" s="6">
        <v>44466</v>
      </c>
      <c r="C303" t="str">
        <f t="shared" ca="1" si="89"/>
        <v>House &amp; Lot</v>
      </c>
      <c r="D303" s="1" t="str">
        <f t="shared" ca="1" si="90"/>
        <v>Cavite</v>
      </c>
      <c r="E303" s="1">
        <f t="shared" ca="1" si="110"/>
        <v>3</v>
      </c>
      <c r="F303" s="1">
        <f t="shared" ca="1" si="110"/>
        <v>3</v>
      </c>
      <c r="G303">
        <f t="shared" ca="1" si="91"/>
        <v>46</v>
      </c>
      <c r="H303">
        <f t="shared" ca="1" si="92"/>
        <v>215</v>
      </c>
      <c r="I303">
        <f t="shared" ca="1" si="93"/>
        <v>2021</v>
      </c>
      <c r="J303" s="2">
        <f t="shared" ca="1" si="94"/>
        <v>4117234</v>
      </c>
      <c r="K303" s="4">
        <f t="shared" ca="1" si="95"/>
        <v>5367444</v>
      </c>
      <c r="L303" t="str">
        <f t="shared" ca="1" si="96"/>
        <v>Anna Mendoza</v>
      </c>
      <c r="M303" t="str">
        <f t="shared" ca="1" si="97"/>
        <v>Individual</v>
      </c>
      <c r="N303" t="str">
        <f t="shared" ca="1" si="98"/>
        <v>Cash</v>
      </c>
      <c r="O303" s="1">
        <f t="shared" ca="1" si="99"/>
        <v>221</v>
      </c>
      <c r="P303" s="2">
        <f t="shared" ca="1" si="100"/>
        <v>161023.32</v>
      </c>
      <c r="Q303" s="2">
        <f t="shared" ca="1" si="101"/>
        <v>1250210</v>
      </c>
      <c r="R303" s="3">
        <f t="shared" ca="1" si="102"/>
        <v>24964.855813953487</v>
      </c>
      <c r="S303">
        <f t="shared" ca="1" si="103"/>
        <v>215</v>
      </c>
      <c r="T303" s="2">
        <f t="shared" ca="1" si="104"/>
        <v>4117233.6963471109</v>
      </c>
      <c r="U303" s="17">
        <f t="shared" si="107"/>
        <v>2021</v>
      </c>
      <c r="V303" s="20" t="str">
        <f t="shared" si="105"/>
        <v>Sep-2021</v>
      </c>
    </row>
    <row r="304" spans="1:22" x14ac:dyDescent="0.3">
      <c r="A304" t="str">
        <f t="shared" si="106"/>
        <v>TX-00304</v>
      </c>
      <c r="B304" s="6">
        <v>45068</v>
      </c>
      <c r="C304" t="str">
        <f t="shared" ca="1" si="89"/>
        <v>Land</v>
      </c>
      <c r="D304" s="1" t="str">
        <f t="shared" ca="1" si="90"/>
        <v>Cavite</v>
      </c>
      <c r="E304" s="1">
        <f t="shared" ca="1" si="110"/>
        <v>2</v>
      </c>
      <c r="F304" s="1">
        <f t="shared" ca="1" si="110"/>
        <v>2</v>
      </c>
      <c r="G304">
        <f t="shared" ca="1" si="91"/>
        <v>46</v>
      </c>
      <c r="H304">
        <f t="shared" ca="1" si="92"/>
        <v>147</v>
      </c>
      <c r="I304">
        <f t="shared" ca="1" si="93"/>
        <v>2013</v>
      </c>
      <c r="J304" s="2">
        <f t="shared" ca="1" si="94"/>
        <v>2384758</v>
      </c>
      <c r="K304" s="4">
        <f t="shared" ca="1" si="95"/>
        <v>6161021</v>
      </c>
      <c r="L304" t="str">
        <f t="shared" ca="1" si="96"/>
        <v>Anna Mendoza</v>
      </c>
      <c r="M304" t="str">
        <f t="shared" ca="1" si="97"/>
        <v>Corporation</v>
      </c>
      <c r="N304" t="str">
        <f t="shared" ca="1" si="98"/>
        <v>Installment</v>
      </c>
      <c r="O304" s="1">
        <f t="shared" ca="1" si="99"/>
        <v>164</v>
      </c>
      <c r="P304" s="2">
        <f t="shared" ca="1" si="100"/>
        <v>184830.63</v>
      </c>
      <c r="Q304" s="2">
        <f t="shared" ca="1" si="101"/>
        <v>3776263</v>
      </c>
      <c r="R304" s="3">
        <f t="shared" ca="1" si="102"/>
        <v>41911.707482993195</v>
      </c>
      <c r="S304">
        <f t="shared" ca="1" si="103"/>
        <v>147</v>
      </c>
      <c r="T304" s="2">
        <f t="shared" ca="1" si="104"/>
        <v>2384756.4165005423</v>
      </c>
      <c r="U304" s="17">
        <f t="shared" si="107"/>
        <v>2023</v>
      </c>
      <c r="V304" s="20" t="str">
        <f t="shared" si="105"/>
        <v>May-2023</v>
      </c>
    </row>
    <row r="305" spans="1:22" x14ac:dyDescent="0.3">
      <c r="A305" t="str">
        <f t="shared" si="106"/>
        <v>TX-00305</v>
      </c>
      <c r="B305" s="6">
        <v>45516</v>
      </c>
      <c r="C305" t="str">
        <f t="shared" ca="1" si="89"/>
        <v>Land</v>
      </c>
      <c r="D305" s="1" t="str">
        <f t="shared" ca="1" si="90"/>
        <v>Makati</v>
      </c>
      <c r="E305" s="1">
        <f t="shared" ca="1" si="110"/>
        <v>2</v>
      </c>
      <c r="F305" s="1">
        <f t="shared" ca="1" si="110"/>
        <v>2</v>
      </c>
      <c r="G305">
        <f t="shared" ca="1" si="91"/>
        <v>155</v>
      </c>
      <c r="H305">
        <f t="shared" ca="1" si="92"/>
        <v>173</v>
      </c>
      <c r="I305">
        <f t="shared" ca="1" si="93"/>
        <v>2011</v>
      </c>
      <c r="J305" s="2">
        <f t="shared" ca="1" si="94"/>
        <v>10833536</v>
      </c>
      <c r="K305" s="4">
        <f t="shared" ca="1" si="95"/>
        <v>8270211</v>
      </c>
      <c r="L305" t="str">
        <f t="shared" ca="1" si="96"/>
        <v>John Dela Cruz</v>
      </c>
      <c r="M305" t="str">
        <f t="shared" ca="1" si="97"/>
        <v>Individual</v>
      </c>
      <c r="N305" t="str">
        <f t="shared" ca="1" si="98"/>
        <v>Cash</v>
      </c>
      <c r="O305" s="1">
        <f t="shared" ca="1" si="99"/>
        <v>198</v>
      </c>
      <c r="P305" s="2">
        <f t="shared" ca="1" si="100"/>
        <v>248106.33</v>
      </c>
      <c r="Q305" s="2">
        <f t="shared" ca="1" si="101"/>
        <v>-2563325</v>
      </c>
      <c r="R305" s="3">
        <f t="shared" ca="1" si="102"/>
        <v>47804.687861271676</v>
      </c>
      <c r="S305">
        <f t="shared" ca="1" si="103"/>
        <v>173</v>
      </c>
      <c r="T305" s="2">
        <f t="shared" ca="1" si="104"/>
        <v>10833536.236610189</v>
      </c>
      <c r="U305" s="17">
        <f t="shared" si="107"/>
        <v>2024</v>
      </c>
      <c r="V305" s="20" t="str">
        <f t="shared" si="105"/>
        <v>Aug-2024</v>
      </c>
    </row>
    <row r="306" spans="1:22" x14ac:dyDescent="0.3">
      <c r="A306" t="str">
        <f t="shared" si="106"/>
        <v>TX-00306</v>
      </c>
      <c r="B306" s="6">
        <v>45497</v>
      </c>
      <c r="C306" t="str">
        <f t="shared" ca="1" si="89"/>
        <v>House &amp; Lot</v>
      </c>
      <c r="D306" s="1" t="str">
        <f t="shared" ca="1" si="90"/>
        <v>Bulacan</v>
      </c>
      <c r="E306" s="1">
        <f t="shared" ca="1" si="110"/>
        <v>2</v>
      </c>
      <c r="F306" s="1">
        <f t="shared" ca="1" si="110"/>
        <v>4</v>
      </c>
      <c r="G306">
        <f t="shared" ca="1" si="91"/>
        <v>55</v>
      </c>
      <c r="H306">
        <f t="shared" ca="1" si="92"/>
        <v>98</v>
      </c>
      <c r="I306">
        <f t="shared" ca="1" si="93"/>
        <v>2014</v>
      </c>
      <c r="J306" s="2">
        <f t="shared" ca="1" si="94"/>
        <v>7489608</v>
      </c>
      <c r="K306" s="4">
        <f t="shared" ca="1" si="95"/>
        <v>6606206</v>
      </c>
      <c r="L306" t="str">
        <f t="shared" ca="1" si="96"/>
        <v>Joy Ramos</v>
      </c>
      <c r="M306" t="str">
        <f t="shared" ca="1" si="97"/>
        <v>Corporation</v>
      </c>
      <c r="N306" t="str">
        <f t="shared" ca="1" si="98"/>
        <v>Bank Loan</v>
      </c>
      <c r="O306" s="1">
        <f t="shared" ca="1" si="99"/>
        <v>156</v>
      </c>
      <c r="P306" s="2">
        <f t="shared" ca="1" si="100"/>
        <v>198186.18</v>
      </c>
      <c r="Q306" s="2">
        <f t="shared" ca="1" si="101"/>
        <v>-883402</v>
      </c>
      <c r="R306" s="3">
        <f t="shared" ca="1" si="102"/>
        <v>67410.265306122456</v>
      </c>
      <c r="S306">
        <f t="shared" ca="1" si="103"/>
        <v>98</v>
      </c>
      <c r="T306" s="2">
        <f t="shared" ca="1" si="104"/>
        <v>7489608.1179503649</v>
      </c>
      <c r="U306" s="17">
        <f t="shared" si="107"/>
        <v>2024</v>
      </c>
      <c r="V306" s="20" t="str">
        <f t="shared" si="105"/>
        <v>Jul-2024</v>
      </c>
    </row>
    <row r="307" spans="1:22" x14ac:dyDescent="0.3">
      <c r="A307" t="str">
        <f t="shared" si="106"/>
        <v>TX-00307</v>
      </c>
      <c r="B307" s="6">
        <v>45502</v>
      </c>
      <c r="C307" t="str">
        <f t="shared" ca="1" si="89"/>
        <v>Land</v>
      </c>
      <c r="D307" s="1" t="str">
        <f t="shared" ca="1" si="90"/>
        <v>Laguna</v>
      </c>
      <c r="E307" s="1">
        <f t="shared" ca="1" si="110"/>
        <v>4</v>
      </c>
      <c r="F307" s="1">
        <f t="shared" ca="1" si="110"/>
        <v>1</v>
      </c>
      <c r="G307">
        <f t="shared" ca="1" si="91"/>
        <v>165</v>
      </c>
      <c r="H307">
        <f t="shared" ca="1" si="92"/>
        <v>65</v>
      </c>
      <c r="I307">
        <f t="shared" ca="1" si="93"/>
        <v>2018</v>
      </c>
      <c r="J307" s="2">
        <f t="shared" ca="1" si="94"/>
        <v>12831996</v>
      </c>
      <c r="K307" s="4">
        <f t="shared" ca="1" si="95"/>
        <v>10066672</v>
      </c>
      <c r="L307" t="str">
        <f t="shared" ca="1" si="96"/>
        <v>Mark Reyes</v>
      </c>
      <c r="M307" t="str">
        <f t="shared" ca="1" si="97"/>
        <v>Corporation</v>
      </c>
      <c r="N307" t="str">
        <f t="shared" ca="1" si="98"/>
        <v>Pag-IBIG Loan</v>
      </c>
      <c r="O307" s="1">
        <f t="shared" ca="1" si="99"/>
        <v>336</v>
      </c>
      <c r="P307" s="2">
        <f t="shared" ca="1" si="100"/>
        <v>302000.15999999997</v>
      </c>
      <c r="Q307" s="2">
        <f t="shared" ca="1" si="101"/>
        <v>-2765324</v>
      </c>
      <c r="R307" s="3">
        <f t="shared" ca="1" si="102"/>
        <v>154871.87692307692</v>
      </c>
      <c r="S307">
        <f t="shared" ca="1" si="103"/>
        <v>65</v>
      </c>
      <c r="T307" s="2">
        <f t="shared" ca="1" si="104"/>
        <v>12831996.215502249</v>
      </c>
      <c r="U307" s="17">
        <f t="shared" si="107"/>
        <v>2024</v>
      </c>
      <c r="V307" s="20" t="str">
        <f t="shared" si="105"/>
        <v>Jul-2024</v>
      </c>
    </row>
    <row r="308" spans="1:22" x14ac:dyDescent="0.3">
      <c r="A308" t="str">
        <f t="shared" si="106"/>
        <v>TX-00308</v>
      </c>
      <c r="B308" s="6">
        <v>45674</v>
      </c>
      <c r="C308" t="str">
        <f t="shared" ca="1" si="89"/>
        <v>House &amp; Lot</v>
      </c>
      <c r="D308" s="1" t="str">
        <f t="shared" ca="1" si="90"/>
        <v>Bulacan</v>
      </c>
      <c r="E308" s="1">
        <f t="shared" ca="1" si="110"/>
        <v>3</v>
      </c>
      <c r="F308" s="1">
        <f t="shared" ca="1" si="110"/>
        <v>3</v>
      </c>
      <c r="G308">
        <f t="shared" ca="1" si="91"/>
        <v>61</v>
      </c>
      <c r="H308">
        <f t="shared" ca="1" si="92"/>
        <v>55</v>
      </c>
      <c r="I308">
        <f t="shared" ca="1" si="93"/>
        <v>2010</v>
      </c>
      <c r="J308" s="2">
        <f t="shared" ca="1" si="94"/>
        <v>3541516</v>
      </c>
      <c r="K308" s="4">
        <f t="shared" ca="1" si="95"/>
        <v>12483465</v>
      </c>
      <c r="L308" t="str">
        <f t="shared" ca="1" si="96"/>
        <v>Mary Garcia</v>
      </c>
      <c r="M308" t="str">
        <f t="shared" ca="1" si="97"/>
        <v>OFW</v>
      </c>
      <c r="N308" t="str">
        <f t="shared" ca="1" si="98"/>
        <v>Cash</v>
      </c>
      <c r="O308" s="1">
        <f t="shared" ca="1" si="99"/>
        <v>286</v>
      </c>
      <c r="P308" s="2">
        <f t="shared" ca="1" si="100"/>
        <v>374503.95</v>
      </c>
      <c r="Q308" s="2">
        <f t="shared" ca="1" si="101"/>
        <v>8941949</v>
      </c>
      <c r="R308" s="3">
        <f t="shared" ca="1" si="102"/>
        <v>226972.09090909091</v>
      </c>
      <c r="S308">
        <f t="shared" ca="1" si="103"/>
        <v>55</v>
      </c>
      <c r="T308" s="2">
        <f t="shared" ca="1" si="104"/>
        <v>3541513.4751069881</v>
      </c>
      <c r="U308" s="17">
        <f t="shared" si="107"/>
        <v>2025</v>
      </c>
      <c r="V308" s="20" t="str">
        <f t="shared" si="105"/>
        <v>Jan-2025</v>
      </c>
    </row>
    <row r="309" spans="1:22" x14ac:dyDescent="0.3">
      <c r="A309" t="str">
        <f t="shared" si="106"/>
        <v>TX-00309</v>
      </c>
      <c r="B309" s="6">
        <v>45021</v>
      </c>
      <c r="C309" t="str">
        <f t="shared" ca="1" si="89"/>
        <v>Land</v>
      </c>
      <c r="D309" s="1" t="str">
        <f t="shared" ca="1" si="90"/>
        <v>Bulacan</v>
      </c>
      <c r="E309" s="1">
        <f t="shared" ca="1" si="110"/>
        <v>4</v>
      </c>
      <c r="F309" s="1">
        <f t="shared" ca="1" si="110"/>
        <v>1</v>
      </c>
      <c r="G309">
        <f t="shared" ca="1" si="91"/>
        <v>115</v>
      </c>
      <c r="H309">
        <f t="shared" ca="1" si="92"/>
        <v>80</v>
      </c>
      <c r="I309">
        <f t="shared" ca="1" si="93"/>
        <v>2021</v>
      </c>
      <c r="J309" s="2">
        <f t="shared" ca="1" si="94"/>
        <v>12843850</v>
      </c>
      <c r="K309" s="4">
        <f t="shared" ca="1" si="95"/>
        <v>9984574</v>
      </c>
      <c r="L309" t="str">
        <f t="shared" ca="1" si="96"/>
        <v>Anna Mendoza</v>
      </c>
      <c r="M309" t="str">
        <f t="shared" ca="1" si="97"/>
        <v>OFW</v>
      </c>
      <c r="N309" t="str">
        <f t="shared" ca="1" si="98"/>
        <v>Installment</v>
      </c>
      <c r="O309" s="1">
        <f t="shared" ca="1" si="99"/>
        <v>195</v>
      </c>
      <c r="P309" s="2">
        <f t="shared" ca="1" si="100"/>
        <v>299537.21999999997</v>
      </c>
      <c r="Q309" s="2">
        <f t="shared" ca="1" si="101"/>
        <v>-2859276</v>
      </c>
      <c r="R309" s="3">
        <f t="shared" ca="1" si="102"/>
        <v>124807.175</v>
      </c>
      <c r="S309">
        <f t="shared" ca="1" si="103"/>
        <v>80</v>
      </c>
      <c r="T309" s="2">
        <f t="shared" ca="1" si="104"/>
        <v>12843850.222618297</v>
      </c>
      <c r="U309" s="17">
        <f t="shared" si="107"/>
        <v>2023</v>
      </c>
      <c r="V309" s="20" t="str">
        <f t="shared" si="105"/>
        <v>Apr-2023</v>
      </c>
    </row>
    <row r="310" spans="1:22" x14ac:dyDescent="0.3">
      <c r="A310" t="str">
        <f t="shared" si="106"/>
        <v>TX-00310</v>
      </c>
      <c r="B310" s="6">
        <v>43732</v>
      </c>
      <c r="C310" t="str">
        <f t="shared" ca="1" si="89"/>
        <v>Condo</v>
      </c>
      <c r="D310" s="1" t="str">
        <f t="shared" ca="1" si="90"/>
        <v>Cavite</v>
      </c>
      <c r="E310" s="1">
        <f t="shared" ca="1" si="110"/>
        <v>1</v>
      </c>
      <c r="F310" s="1">
        <f t="shared" ca="1" si="110"/>
        <v>1</v>
      </c>
      <c r="G310">
        <f t="shared" ca="1" si="91"/>
        <v>155</v>
      </c>
      <c r="H310">
        <f t="shared" ca="1" si="92"/>
        <v>236</v>
      </c>
      <c r="I310">
        <f t="shared" ca="1" si="93"/>
        <v>2011</v>
      </c>
      <c r="J310" s="2">
        <f t="shared" ca="1" si="94"/>
        <v>14249561</v>
      </c>
      <c r="K310" s="4">
        <f t="shared" ca="1" si="95"/>
        <v>7595729</v>
      </c>
      <c r="L310" t="str">
        <f t="shared" ca="1" si="96"/>
        <v>Mary Garcia</v>
      </c>
      <c r="M310" t="str">
        <f t="shared" ca="1" si="97"/>
        <v>OFW</v>
      </c>
      <c r="N310" t="str">
        <f t="shared" ca="1" si="98"/>
        <v>Cash</v>
      </c>
      <c r="O310" s="1">
        <f t="shared" ca="1" si="99"/>
        <v>179</v>
      </c>
      <c r="P310" s="2">
        <f t="shared" ca="1" si="100"/>
        <v>227871.87</v>
      </c>
      <c r="Q310" s="2">
        <f t="shared" ca="1" si="101"/>
        <v>-6653832</v>
      </c>
      <c r="R310" s="3">
        <f t="shared" ca="1" si="102"/>
        <v>49004.70322580645</v>
      </c>
      <c r="S310">
        <f t="shared" ca="1" si="103"/>
        <v>155</v>
      </c>
      <c r="T310" s="2">
        <f t="shared" ca="1" si="104"/>
        <v>14249561.466949964</v>
      </c>
      <c r="U310" s="17">
        <f t="shared" si="107"/>
        <v>2019</v>
      </c>
      <c r="V310" s="20" t="str">
        <f t="shared" si="105"/>
        <v>Sep-2019</v>
      </c>
    </row>
    <row r="311" spans="1:22" x14ac:dyDescent="0.3">
      <c r="A311" t="str">
        <f t="shared" si="106"/>
        <v>TX-00311</v>
      </c>
      <c r="B311" s="6">
        <v>43412</v>
      </c>
      <c r="C311" t="str">
        <f t="shared" ca="1" si="89"/>
        <v>Land</v>
      </c>
      <c r="D311" s="1" t="str">
        <f t="shared" ca="1" si="90"/>
        <v>Bulacan</v>
      </c>
      <c r="E311" s="1">
        <f t="shared" ca="1" si="110"/>
        <v>4</v>
      </c>
      <c r="F311" s="1">
        <f t="shared" ca="1" si="110"/>
        <v>4</v>
      </c>
      <c r="G311">
        <f t="shared" ca="1" si="91"/>
        <v>56</v>
      </c>
      <c r="H311">
        <f t="shared" ca="1" si="92"/>
        <v>92</v>
      </c>
      <c r="I311">
        <f t="shared" ca="1" si="93"/>
        <v>2021</v>
      </c>
      <c r="J311" s="2">
        <f t="shared" ca="1" si="94"/>
        <v>10009181</v>
      </c>
      <c r="K311" s="4">
        <f t="shared" ca="1" si="95"/>
        <v>11386046</v>
      </c>
      <c r="L311" t="str">
        <f t="shared" ca="1" si="96"/>
        <v>Joy Ramos</v>
      </c>
      <c r="M311" t="str">
        <f t="shared" ca="1" si="97"/>
        <v>Investor</v>
      </c>
      <c r="N311" t="str">
        <f t="shared" ca="1" si="98"/>
        <v>Cash</v>
      </c>
      <c r="O311" s="1">
        <f t="shared" ca="1" si="99"/>
        <v>392</v>
      </c>
      <c r="P311" s="2">
        <f t="shared" ca="1" si="100"/>
        <v>341581.38</v>
      </c>
      <c r="Q311" s="2">
        <f t="shared" ca="1" si="101"/>
        <v>1376865</v>
      </c>
      <c r="R311" s="3">
        <f t="shared" ca="1" si="102"/>
        <v>123761.36956521739</v>
      </c>
      <c r="S311">
        <f t="shared" ca="1" si="103"/>
        <v>92</v>
      </c>
      <c r="T311" s="2">
        <f t="shared" ca="1" si="104"/>
        <v>10009180.862439794</v>
      </c>
      <c r="U311" s="17">
        <f t="shared" si="107"/>
        <v>2018</v>
      </c>
      <c r="V311" s="20" t="str">
        <f t="shared" si="105"/>
        <v>Nov-2018</v>
      </c>
    </row>
    <row r="312" spans="1:22" x14ac:dyDescent="0.3">
      <c r="A312" t="str">
        <f t="shared" si="106"/>
        <v>TX-00312</v>
      </c>
      <c r="B312" s="6">
        <v>44974</v>
      </c>
      <c r="C312" t="str">
        <f t="shared" ca="1" si="89"/>
        <v>Commercial</v>
      </c>
      <c r="D312" s="1" t="str">
        <f t="shared" ca="1" si="90"/>
        <v>Makati</v>
      </c>
      <c r="E312" s="1">
        <f t="shared" ca="1" si="110"/>
        <v>3</v>
      </c>
      <c r="F312" s="1">
        <f t="shared" ca="1" si="110"/>
        <v>2</v>
      </c>
      <c r="G312">
        <f t="shared" ca="1" si="91"/>
        <v>142</v>
      </c>
      <c r="H312">
        <f t="shared" ca="1" si="92"/>
        <v>108</v>
      </c>
      <c r="I312">
        <f t="shared" ca="1" si="93"/>
        <v>2017</v>
      </c>
      <c r="J312" s="2">
        <f t="shared" ca="1" si="94"/>
        <v>13302882</v>
      </c>
      <c r="K312" s="4">
        <f t="shared" ca="1" si="95"/>
        <v>6700688</v>
      </c>
      <c r="L312" t="str">
        <f t="shared" ca="1" si="96"/>
        <v>Daniel Cruz</v>
      </c>
      <c r="M312" t="str">
        <f t="shared" ca="1" si="97"/>
        <v>Corporation</v>
      </c>
      <c r="N312" t="str">
        <f t="shared" ca="1" si="98"/>
        <v>Bank Loan</v>
      </c>
      <c r="O312" s="1">
        <f t="shared" ca="1" si="99"/>
        <v>285</v>
      </c>
      <c r="P312" s="2">
        <f t="shared" ca="1" si="100"/>
        <v>201020.63999999998</v>
      </c>
      <c r="Q312" s="2">
        <f t="shared" ca="1" si="101"/>
        <v>-6602194</v>
      </c>
      <c r="R312" s="3">
        <f t="shared" ca="1" si="102"/>
        <v>62043.407407407409</v>
      </c>
      <c r="S312">
        <f t="shared" ca="1" si="103"/>
        <v>108</v>
      </c>
      <c r="T312" s="2">
        <f t="shared" ca="1" si="104"/>
        <v>13302882.496298021</v>
      </c>
      <c r="U312" s="17">
        <f t="shared" si="107"/>
        <v>2023</v>
      </c>
      <c r="V312" s="20" t="str">
        <f t="shared" si="105"/>
        <v>Feb-2023</v>
      </c>
    </row>
    <row r="313" spans="1:22" x14ac:dyDescent="0.3">
      <c r="A313" t="str">
        <f t="shared" si="106"/>
        <v>TX-00313</v>
      </c>
      <c r="B313" s="6">
        <v>44026</v>
      </c>
      <c r="C313" t="str">
        <f t="shared" ca="1" si="89"/>
        <v>Commercial</v>
      </c>
      <c r="D313" s="1" t="str">
        <f t="shared" ca="1" si="90"/>
        <v>Makati</v>
      </c>
      <c r="E313" s="1">
        <f t="shared" ca="1" si="110"/>
        <v>4</v>
      </c>
      <c r="F313" s="1">
        <f t="shared" ca="1" si="110"/>
        <v>2</v>
      </c>
      <c r="G313">
        <f t="shared" ca="1" si="91"/>
        <v>67</v>
      </c>
      <c r="H313">
        <f t="shared" ca="1" si="92"/>
        <v>246</v>
      </c>
      <c r="I313">
        <f t="shared" ca="1" si="93"/>
        <v>2021</v>
      </c>
      <c r="J313" s="2">
        <f t="shared" ca="1" si="94"/>
        <v>12197108</v>
      </c>
      <c r="K313" s="4">
        <f t="shared" ca="1" si="95"/>
        <v>11533118</v>
      </c>
      <c r="L313" t="str">
        <f t="shared" ca="1" si="96"/>
        <v>Joy Ramos</v>
      </c>
      <c r="M313" t="str">
        <f t="shared" ca="1" si="97"/>
        <v>Corporation</v>
      </c>
      <c r="N313" t="str">
        <f t="shared" ca="1" si="98"/>
        <v>Pag-IBIG Loan</v>
      </c>
      <c r="O313" s="1">
        <f t="shared" ca="1" si="99"/>
        <v>339</v>
      </c>
      <c r="P313" s="2">
        <f t="shared" ca="1" si="100"/>
        <v>345993.54</v>
      </c>
      <c r="Q313" s="2">
        <f t="shared" ca="1" si="101"/>
        <v>-663990</v>
      </c>
      <c r="R313" s="3">
        <f t="shared" ca="1" si="102"/>
        <v>46882.593495934962</v>
      </c>
      <c r="S313">
        <f t="shared" ca="1" si="103"/>
        <v>246</v>
      </c>
      <c r="T313" s="2">
        <f t="shared" ca="1" si="104"/>
        <v>12197108.054438313</v>
      </c>
      <c r="U313" s="17">
        <f t="shared" si="107"/>
        <v>2020</v>
      </c>
      <c r="V313" s="20" t="str">
        <f t="shared" si="105"/>
        <v>Jul-2020</v>
      </c>
    </row>
    <row r="314" spans="1:22" x14ac:dyDescent="0.3">
      <c r="A314" t="str">
        <f t="shared" si="106"/>
        <v>TX-00314</v>
      </c>
      <c r="B314" s="6">
        <v>46065</v>
      </c>
      <c r="C314" t="str">
        <f t="shared" ca="1" si="89"/>
        <v>House &amp; Lot</v>
      </c>
      <c r="D314" s="1" t="str">
        <f t="shared" ca="1" si="90"/>
        <v>Laguna</v>
      </c>
      <c r="E314" s="1">
        <f t="shared" ca="1" si="110"/>
        <v>1</v>
      </c>
      <c r="F314" s="1">
        <f t="shared" ca="1" si="110"/>
        <v>3</v>
      </c>
      <c r="G314">
        <f t="shared" ca="1" si="91"/>
        <v>185</v>
      </c>
      <c r="H314">
        <f t="shared" ca="1" si="92"/>
        <v>198</v>
      </c>
      <c r="I314">
        <f t="shared" ca="1" si="93"/>
        <v>2017</v>
      </c>
      <c r="J314" s="2">
        <f t="shared" ca="1" si="94"/>
        <v>13565732</v>
      </c>
      <c r="K314" s="4">
        <f t="shared" ca="1" si="95"/>
        <v>8539765</v>
      </c>
      <c r="L314" t="str">
        <f t="shared" ca="1" si="96"/>
        <v>Michelle Flores</v>
      </c>
      <c r="M314" t="str">
        <f t="shared" ca="1" si="97"/>
        <v>Individual</v>
      </c>
      <c r="N314" t="str">
        <f t="shared" ca="1" si="98"/>
        <v>Cash</v>
      </c>
      <c r="O314" s="1">
        <f t="shared" ca="1" si="99"/>
        <v>206</v>
      </c>
      <c r="P314" s="2">
        <f t="shared" ca="1" si="100"/>
        <v>256192.94999999998</v>
      </c>
      <c r="Q314" s="2">
        <f t="shared" ca="1" si="101"/>
        <v>-5025967</v>
      </c>
      <c r="R314" s="3">
        <f t="shared" ca="1" si="102"/>
        <v>43130.126262626261</v>
      </c>
      <c r="S314">
        <f t="shared" ca="1" si="103"/>
        <v>198</v>
      </c>
      <c r="T314" s="2">
        <f t="shared" ca="1" si="104"/>
        <v>13565732.370489923</v>
      </c>
      <c r="U314" s="17">
        <f t="shared" si="107"/>
        <v>2026</v>
      </c>
      <c r="V314" s="20" t="str">
        <f t="shared" si="105"/>
        <v>Feb-2026</v>
      </c>
    </row>
    <row r="315" spans="1:22" x14ac:dyDescent="0.3">
      <c r="A315" t="str">
        <f t="shared" si="106"/>
        <v>TX-00315</v>
      </c>
      <c r="B315" s="6">
        <v>45253</v>
      </c>
      <c r="C315" t="str">
        <f t="shared" ca="1" si="89"/>
        <v>Commercial</v>
      </c>
      <c r="D315" s="1" t="str">
        <f t="shared" ca="1" si="90"/>
        <v>Laguna</v>
      </c>
      <c r="E315" s="1">
        <f t="shared" ca="1" si="110"/>
        <v>3</v>
      </c>
      <c r="F315" s="1">
        <f t="shared" ca="1" si="110"/>
        <v>1</v>
      </c>
      <c r="G315">
        <f t="shared" ca="1" si="91"/>
        <v>195</v>
      </c>
      <c r="H315">
        <f t="shared" ca="1" si="92"/>
        <v>155</v>
      </c>
      <c r="I315">
        <f t="shared" ca="1" si="93"/>
        <v>2011</v>
      </c>
      <c r="J315" s="2">
        <f t="shared" ca="1" si="94"/>
        <v>2140154</v>
      </c>
      <c r="K315" s="4">
        <f t="shared" ca="1" si="95"/>
        <v>4046500</v>
      </c>
      <c r="L315" t="str">
        <f t="shared" ca="1" si="96"/>
        <v>John Dela Cruz</v>
      </c>
      <c r="M315" t="str">
        <f t="shared" ca="1" si="97"/>
        <v>Corporation</v>
      </c>
      <c r="N315" t="str">
        <f t="shared" ca="1" si="98"/>
        <v>Installment</v>
      </c>
      <c r="O315" s="1">
        <f t="shared" ca="1" si="99"/>
        <v>291</v>
      </c>
      <c r="P315" s="2">
        <f t="shared" ca="1" si="100"/>
        <v>121395</v>
      </c>
      <c r="Q315" s="2">
        <f t="shared" ca="1" si="101"/>
        <v>1906346</v>
      </c>
      <c r="R315" s="3">
        <f t="shared" ca="1" si="102"/>
        <v>26106.451612903227</v>
      </c>
      <c r="S315">
        <f t="shared" ca="1" si="103"/>
        <v>155</v>
      </c>
      <c r="T315" s="2">
        <f t="shared" ca="1" si="104"/>
        <v>2140153.109248213</v>
      </c>
      <c r="U315" s="17">
        <f t="shared" si="107"/>
        <v>2023</v>
      </c>
      <c r="V315" s="20" t="str">
        <f t="shared" si="105"/>
        <v>Nov-2023</v>
      </c>
    </row>
    <row r="316" spans="1:22" x14ac:dyDescent="0.3">
      <c r="A316" t="str">
        <f t="shared" si="106"/>
        <v>TX-00316</v>
      </c>
      <c r="B316" s="6">
        <v>44582</v>
      </c>
      <c r="C316" t="str">
        <f t="shared" ca="1" si="89"/>
        <v>House &amp; Lot</v>
      </c>
      <c r="D316" s="1" t="str">
        <f t="shared" ca="1" si="90"/>
        <v>Bulacan</v>
      </c>
      <c r="E316" s="1">
        <f t="shared" ca="1" si="110"/>
        <v>1</v>
      </c>
      <c r="F316" s="1">
        <f t="shared" ca="1" si="110"/>
        <v>1</v>
      </c>
      <c r="G316">
        <f t="shared" ca="1" si="91"/>
        <v>164</v>
      </c>
      <c r="H316">
        <f t="shared" ca="1" si="92"/>
        <v>134</v>
      </c>
      <c r="I316">
        <f t="shared" ca="1" si="93"/>
        <v>2011</v>
      </c>
      <c r="J316" s="2">
        <f t="shared" ca="1" si="94"/>
        <v>12920550</v>
      </c>
      <c r="K316" s="4">
        <f t="shared" ca="1" si="95"/>
        <v>3036894</v>
      </c>
      <c r="L316" t="str">
        <f t="shared" ca="1" si="96"/>
        <v>John Dela Cruz</v>
      </c>
      <c r="M316" t="str">
        <f t="shared" ca="1" si="97"/>
        <v>Corporation</v>
      </c>
      <c r="N316" t="str">
        <f t="shared" ca="1" si="98"/>
        <v>Cash</v>
      </c>
      <c r="O316" s="1">
        <f t="shared" ca="1" si="99"/>
        <v>313</v>
      </c>
      <c r="P316" s="2">
        <f t="shared" ca="1" si="100"/>
        <v>91106.819999999992</v>
      </c>
      <c r="Q316" s="2">
        <f t="shared" ca="1" si="101"/>
        <v>-9883656</v>
      </c>
      <c r="R316" s="3">
        <f t="shared" ca="1" si="102"/>
        <v>22663.388059701494</v>
      </c>
      <c r="S316">
        <f t="shared" ca="1" si="103"/>
        <v>134</v>
      </c>
      <c r="T316" s="2">
        <f t="shared" ca="1" si="104"/>
        <v>12920550.76495629</v>
      </c>
      <c r="U316" s="17">
        <f t="shared" si="107"/>
        <v>2022</v>
      </c>
      <c r="V316" s="20" t="str">
        <f t="shared" si="105"/>
        <v>Jan-2022</v>
      </c>
    </row>
    <row r="317" spans="1:22" x14ac:dyDescent="0.3">
      <c r="A317" t="str">
        <f t="shared" si="106"/>
        <v>TX-00317</v>
      </c>
      <c r="B317" s="6">
        <v>46056</v>
      </c>
      <c r="C317" t="str">
        <f t="shared" ca="1" si="89"/>
        <v>House &amp; Lot</v>
      </c>
      <c r="D317" s="1" t="str">
        <f t="shared" ca="1" si="90"/>
        <v>Laguna</v>
      </c>
      <c r="E317" s="1">
        <f t="shared" ca="1" si="110"/>
        <v>2</v>
      </c>
      <c r="F317" s="1">
        <f t="shared" ca="1" si="110"/>
        <v>3</v>
      </c>
      <c r="G317">
        <f t="shared" ca="1" si="91"/>
        <v>188</v>
      </c>
      <c r="H317">
        <f t="shared" ca="1" si="92"/>
        <v>128</v>
      </c>
      <c r="I317">
        <f t="shared" ca="1" si="93"/>
        <v>2018</v>
      </c>
      <c r="J317" s="2">
        <f t="shared" ca="1" si="94"/>
        <v>9817748</v>
      </c>
      <c r="K317" s="4">
        <f t="shared" ca="1" si="95"/>
        <v>3413775</v>
      </c>
      <c r="L317" t="str">
        <f t="shared" ca="1" si="96"/>
        <v>Joy Ramos</v>
      </c>
      <c r="M317" t="str">
        <f t="shared" ca="1" si="97"/>
        <v>OFW</v>
      </c>
      <c r="N317" t="str">
        <f t="shared" ca="1" si="98"/>
        <v>Installment</v>
      </c>
      <c r="O317" s="1">
        <f t="shared" ca="1" si="99"/>
        <v>168</v>
      </c>
      <c r="P317" s="2">
        <f t="shared" ca="1" si="100"/>
        <v>102413.25</v>
      </c>
      <c r="Q317" s="2">
        <f t="shared" ca="1" si="101"/>
        <v>-6403973</v>
      </c>
      <c r="R317" s="3">
        <f t="shared" ca="1" si="102"/>
        <v>26670.1171875</v>
      </c>
      <c r="S317">
        <f t="shared" ca="1" si="103"/>
        <v>128</v>
      </c>
      <c r="T317" s="2">
        <f t="shared" ca="1" si="104"/>
        <v>9817748.65228533</v>
      </c>
      <c r="U317" s="17">
        <f t="shared" si="107"/>
        <v>2026</v>
      </c>
      <c r="V317" s="20" t="str">
        <f t="shared" si="105"/>
        <v>Feb-2026</v>
      </c>
    </row>
    <row r="318" spans="1:22" x14ac:dyDescent="0.3">
      <c r="A318" t="str">
        <f t="shared" si="106"/>
        <v>TX-00318</v>
      </c>
      <c r="B318" s="6">
        <v>44485</v>
      </c>
      <c r="C318" t="str">
        <f t="shared" ca="1" si="89"/>
        <v>Condo</v>
      </c>
      <c r="D318" s="1" t="str">
        <f t="shared" ca="1" si="90"/>
        <v>Cavite</v>
      </c>
      <c r="E318" s="1">
        <f t="shared" ca="1" si="110"/>
        <v>1</v>
      </c>
      <c r="F318" s="1">
        <f t="shared" ca="1" si="110"/>
        <v>1</v>
      </c>
      <c r="G318">
        <f t="shared" ca="1" si="91"/>
        <v>87</v>
      </c>
      <c r="H318">
        <f t="shared" ca="1" si="92"/>
        <v>203</v>
      </c>
      <c r="I318">
        <f t="shared" ca="1" si="93"/>
        <v>2013</v>
      </c>
      <c r="J318" s="2">
        <f t="shared" ca="1" si="94"/>
        <v>8191816</v>
      </c>
      <c r="K318" s="4">
        <f t="shared" ca="1" si="95"/>
        <v>12785806</v>
      </c>
      <c r="L318" t="str">
        <f t="shared" ca="1" si="96"/>
        <v>Anna Mendoza</v>
      </c>
      <c r="M318" t="str">
        <f t="shared" ca="1" si="97"/>
        <v>Individual</v>
      </c>
      <c r="N318" t="str">
        <f t="shared" ca="1" si="98"/>
        <v>Installment</v>
      </c>
      <c r="O318" s="1">
        <f t="shared" ca="1" si="99"/>
        <v>215</v>
      </c>
      <c r="P318" s="2">
        <f t="shared" ca="1" si="100"/>
        <v>383574.18</v>
      </c>
      <c r="Q318" s="2">
        <f t="shared" ca="1" si="101"/>
        <v>4593990</v>
      </c>
      <c r="R318" s="3">
        <f t="shared" ca="1" si="102"/>
        <v>146963.28735632185</v>
      </c>
      <c r="S318">
        <f t="shared" ca="1" si="103"/>
        <v>87</v>
      </c>
      <c r="T318" s="2">
        <f t="shared" ca="1" si="104"/>
        <v>8191815.4391976092</v>
      </c>
      <c r="U318" s="17">
        <f t="shared" si="107"/>
        <v>2021</v>
      </c>
      <c r="V318" s="20" t="str">
        <f t="shared" si="105"/>
        <v>Oct-2021</v>
      </c>
    </row>
    <row r="319" spans="1:22" x14ac:dyDescent="0.3">
      <c r="A319" t="str">
        <f t="shared" si="106"/>
        <v>TX-00319</v>
      </c>
      <c r="B319" s="6">
        <v>45046</v>
      </c>
      <c r="C319" t="str">
        <f t="shared" ca="1" si="89"/>
        <v>Commercial</v>
      </c>
      <c r="D319" s="1" t="str">
        <f t="shared" ca="1" si="90"/>
        <v>Bulacan</v>
      </c>
      <c r="E319" s="1">
        <f t="shared" ca="1" si="110"/>
        <v>2</v>
      </c>
      <c r="F319" s="1">
        <f t="shared" ca="1" si="110"/>
        <v>3</v>
      </c>
      <c r="G319">
        <f t="shared" ca="1" si="91"/>
        <v>126</v>
      </c>
      <c r="H319">
        <f t="shared" ca="1" si="92"/>
        <v>106</v>
      </c>
      <c r="I319">
        <f t="shared" ca="1" si="93"/>
        <v>2011</v>
      </c>
      <c r="J319" s="2">
        <f t="shared" ca="1" si="94"/>
        <v>7020905</v>
      </c>
      <c r="K319" s="4">
        <f t="shared" ca="1" si="95"/>
        <v>3062183</v>
      </c>
      <c r="L319" t="str">
        <f t="shared" ca="1" si="96"/>
        <v>Anna Mendoza</v>
      </c>
      <c r="M319" t="str">
        <f t="shared" ca="1" si="97"/>
        <v>Investor</v>
      </c>
      <c r="N319" t="str">
        <f t="shared" ca="1" si="98"/>
        <v>Installment</v>
      </c>
      <c r="O319" s="1">
        <f t="shared" ca="1" si="99"/>
        <v>334</v>
      </c>
      <c r="P319" s="2">
        <f t="shared" ca="1" si="100"/>
        <v>91865.489999999991</v>
      </c>
      <c r="Q319" s="2">
        <f t="shared" ca="1" si="101"/>
        <v>-3958722</v>
      </c>
      <c r="R319" s="3">
        <f t="shared" ca="1" si="102"/>
        <v>28888.518867924529</v>
      </c>
      <c r="S319">
        <f t="shared" ca="1" si="103"/>
        <v>106</v>
      </c>
      <c r="T319" s="2">
        <f t="shared" ca="1" si="104"/>
        <v>7020905.5638478231</v>
      </c>
      <c r="U319" s="17">
        <f t="shared" si="107"/>
        <v>2023</v>
      </c>
      <c r="V319" s="20" t="str">
        <f t="shared" si="105"/>
        <v>Apr-2023</v>
      </c>
    </row>
    <row r="320" spans="1:22" x14ac:dyDescent="0.3">
      <c r="A320" t="str">
        <f t="shared" si="106"/>
        <v>TX-00320</v>
      </c>
      <c r="B320" s="6">
        <v>44303</v>
      </c>
      <c r="C320" t="str">
        <f t="shared" ca="1" si="89"/>
        <v>Commercial</v>
      </c>
      <c r="D320" s="1" t="str">
        <f t="shared" ca="1" si="90"/>
        <v>Makati</v>
      </c>
      <c r="E320" s="1">
        <f t="shared" ca="1" si="110"/>
        <v>1</v>
      </c>
      <c r="F320" s="1">
        <f t="shared" ca="1" si="110"/>
        <v>4</v>
      </c>
      <c r="G320">
        <f t="shared" ca="1" si="91"/>
        <v>134</v>
      </c>
      <c r="H320">
        <f t="shared" ca="1" si="92"/>
        <v>118</v>
      </c>
      <c r="I320">
        <f t="shared" ca="1" si="93"/>
        <v>2021</v>
      </c>
      <c r="J320" s="2">
        <f t="shared" ca="1" si="94"/>
        <v>12774638</v>
      </c>
      <c r="K320" s="4">
        <f t="shared" ca="1" si="95"/>
        <v>7173392</v>
      </c>
      <c r="L320" t="str">
        <f t="shared" ca="1" si="96"/>
        <v>Rachel Villanueva</v>
      </c>
      <c r="M320" t="str">
        <f t="shared" ca="1" si="97"/>
        <v>Investor</v>
      </c>
      <c r="N320" t="str">
        <f t="shared" ca="1" si="98"/>
        <v>Bank Loan</v>
      </c>
      <c r="O320" s="1">
        <f t="shared" ca="1" si="99"/>
        <v>126</v>
      </c>
      <c r="P320" s="2">
        <f t="shared" ca="1" si="100"/>
        <v>215201.75999999998</v>
      </c>
      <c r="Q320" s="2">
        <f t="shared" ca="1" si="101"/>
        <v>-5601246</v>
      </c>
      <c r="R320" s="3">
        <f t="shared" ca="1" si="102"/>
        <v>60791.457627118645</v>
      </c>
      <c r="S320">
        <f t="shared" ca="1" si="103"/>
        <v>118</v>
      </c>
      <c r="T320" s="2">
        <f t="shared" ca="1" si="104"/>
        <v>12774638.438466122</v>
      </c>
      <c r="U320" s="17">
        <f t="shared" si="107"/>
        <v>2021</v>
      </c>
      <c r="V320" s="20" t="str">
        <f t="shared" si="105"/>
        <v>Apr-2021</v>
      </c>
    </row>
    <row r="321" spans="1:22" x14ac:dyDescent="0.3">
      <c r="A321" t="str">
        <f t="shared" si="106"/>
        <v>TX-00321</v>
      </c>
      <c r="B321" s="6">
        <v>43292</v>
      </c>
      <c r="C321" t="str">
        <f t="shared" ca="1" si="89"/>
        <v>Land</v>
      </c>
      <c r="D321" s="1" t="str">
        <f t="shared" ca="1" si="90"/>
        <v>Makati</v>
      </c>
      <c r="E321" s="1">
        <f t="shared" ca="1" si="110"/>
        <v>2</v>
      </c>
      <c r="F321" s="1">
        <f t="shared" ca="1" si="110"/>
        <v>3</v>
      </c>
      <c r="G321">
        <f t="shared" ca="1" si="91"/>
        <v>84</v>
      </c>
      <c r="H321">
        <f t="shared" ca="1" si="92"/>
        <v>177</v>
      </c>
      <c r="I321">
        <f t="shared" ca="1" si="93"/>
        <v>2010</v>
      </c>
      <c r="J321" s="2">
        <f t="shared" ca="1" si="94"/>
        <v>13944868</v>
      </c>
      <c r="K321" s="4">
        <f t="shared" ca="1" si="95"/>
        <v>4888651</v>
      </c>
      <c r="L321" t="str">
        <f t="shared" ca="1" si="96"/>
        <v>Michelle Flores</v>
      </c>
      <c r="M321" t="str">
        <f t="shared" ca="1" si="97"/>
        <v>Corporation</v>
      </c>
      <c r="N321" t="str">
        <f t="shared" ca="1" si="98"/>
        <v>Pag-IBIG Loan</v>
      </c>
      <c r="O321" s="1">
        <f t="shared" ca="1" si="99"/>
        <v>102</v>
      </c>
      <c r="P321" s="2">
        <f t="shared" ca="1" si="100"/>
        <v>146659.53</v>
      </c>
      <c r="Q321" s="2">
        <f t="shared" ca="1" si="101"/>
        <v>-9056217</v>
      </c>
      <c r="R321" s="3">
        <f t="shared" ca="1" si="102"/>
        <v>27619.497175141241</v>
      </c>
      <c r="S321">
        <f t="shared" ca="1" si="103"/>
        <v>177</v>
      </c>
      <c r="T321" s="2">
        <f t="shared" ca="1" si="104"/>
        <v>13944868.649430098</v>
      </c>
      <c r="U321" s="17">
        <f t="shared" si="107"/>
        <v>2018</v>
      </c>
      <c r="V321" s="20" t="str">
        <f t="shared" si="105"/>
        <v>Jul-2018</v>
      </c>
    </row>
    <row r="322" spans="1:22" x14ac:dyDescent="0.3">
      <c r="A322" t="str">
        <f t="shared" si="106"/>
        <v>TX-00322</v>
      </c>
      <c r="B322" s="6">
        <v>44656</v>
      </c>
      <c r="C322" t="str">
        <f t="shared" ref="C322:C385" ca="1" si="111">CHOOSE(RANDBETWEEN(1,4),"Condo","House &amp; Lot","Commercial","Land")</f>
        <v>Commercial</v>
      </c>
      <c r="D322" s="1" t="str">
        <f t="shared" ref="D322:D385" ca="1" si="112">CHOOSE(RANDBETWEEN(1,4),"Laguna","Makati","Cavite","Bulacan")</f>
        <v>Makati</v>
      </c>
      <c r="E322" s="1">
        <f t="shared" ref="E322:F341" ca="1" si="113">RANDBETWEEN(1,4)</f>
        <v>3</v>
      </c>
      <c r="F322" s="1">
        <f t="shared" ca="1" si="113"/>
        <v>4</v>
      </c>
      <c r="G322">
        <f t="shared" ref="G322:G385" ca="1" si="114">RANDBETWEEN(40,200)</f>
        <v>115</v>
      </c>
      <c r="H322">
        <f t="shared" ref="H322:H385" ca="1" si="115">RANDBETWEEN(50,250)</f>
        <v>64</v>
      </c>
      <c r="I322">
        <f t="shared" ref="I322:I385" ca="1" si="116">RANDBETWEEN(2010,2023)</f>
        <v>2019</v>
      </c>
      <c r="J322" s="2">
        <f t="shared" ref="J322:J385" ca="1" si="117">RANDBETWEEN(2000000,15000000)</f>
        <v>6712880</v>
      </c>
      <c r="K322" s="4">
        <f t="shared" ref="K322:K385" ca="1" si="118">RANDBETWEEN(1500000,13000000)</f>
        <v>12544251</v>
      </c>
      <c r="L322" t="str">
        <f t="shared" ref="L322:L385" ca="1" si="119">CHOOSE(RANDBETWEEN(1,9),"John Dela Cruz", "Michael Santos", "Mark Reyes", "Daniel Cruz", "Mary Garcia","Anna Mendoza", "Michelle Flores", "Rachel Villanueva", "Joy Ramos")</f>
        <v>John Dela Cruz</v>
      </c>
      <c r="M322" t="str">
        <f t="shared" ref="M322:M385" ca="1" si="120">CHOOSE(RANDBETWEEN(1,4),"Individual", "Corporation", "OFW", "Investor")</f>
        <v>Investor</v>
      </c>
      <c r="N322" t="str">
        <f t="shared" ref="N322:N385" ca="1" si="121">CHOOSE(RANDBETWEEN(1,4),"Cash", "Bank Loan", "Pag-IBIG Loan", "Installment")</f>
        <v>Pag-IBIG Loan</v>
      </c>
      <c r="O322" s="1">
        <f t="shared" ref="O322:O385" ca="1" si="122">RANDBETWEEN(100,400)</f>
        <v>151</v>
      </c>
      <c r="P322" s="2">
        <f t="shared" ref="P322:P385" ca="1" si="123">SUM(K322*0.03)</f>
        <v>376327.52999999997</v>
      </c>
      <c r="Q322" s="2">
        <f t="shared" ref="Q322:Q385" ca="1" si="124">SUM(K322-J322)</f>
        <v>5831371</v>
      </c>
      <c r="R322" s="3">
        <f t="shared" ref="R322:R385" ca="1" si="125">SUM(K322/S322)</f>
        <v>196003.921875</v>
      </c>
      <c r="S322">
        <f t="shared" ref="S322:S385" ca="1" si="126">IF(C322="Condo", G322,H322)</f>
        <v>64</v>
      </c>
      <c r="T322" s="2">
        <f t="shared" ref="T322:T385" ca="1" si="127">SUM(J322-Q322/J322)</f>
        <v>6712879.1313160667</v>
      </c>
      <c r="U322" s="17">
        <f t="shared" si="107"/>
        <v>2022</v>
      </c>
      <c r="V322" s="20" t="str">
        <f t="shared" ref="V322:V385" si="128">TEXT(B322,"mmm-yyyy")</f>
        <v>Apr-2022</v>
      </c>
    </row>
    <row r="323" spans="1:22" x14ac:dyDescent="0.3">
      <c r="A323" t="str">
        <f t="shared" ref="A323:A386" si="129">"TX-" &amp; TEXT(ROW(),"00000")</f>
        <v>TX-00323</v>
      </c>
      <c r="B323" s="6">
        <v>44313</v>
      </c>
      <c r="C323" t="str">
        <f t="shared" ca="1" si="111"/>
        <v>House &amp; Lot</v>
      </c>
      <c r="D323" s="1" t="str">
        <f t="shared" ca="1" si="112"/>
        <v>Bulacan</v>
      </c>
      <c r="E323" s="1">
        <f t="shared" ca="1" si="113"/>
        <v>2</v>
      </c>
      <c r="F323" s="1">
        <f t="shared" ca="1" si="113"/>
        <v>3</v>
      </c>
      <c r="G323">
        <f t="shared" ca="1" si="114"/>
        <v>115</v>
      </c>
      <c r="H323">
        <f t="shared" ca="1" si="115"/>
        <v>114</v>
      </c>
      <c r="I323">
        <f t="shared" ca="1" si="116"/>
        <v>2019</v>
      </c>
      <c r="J323" s="2">
        <f t="shared" ca="1" si="117"/>
        <v>5268758</v>
      </c>
      <c r="K323" s="4">
        <f t="shared" ca="1" si="118"/>
        <v>6436617</v>
      </c>
      <c r="L323" t="str">
        <f t="shared" ca="1" si="119"/>
        <v>John Dela Cruz</v>
      </c>
      <c r="M323" t="str">
        <f t="shared" ca="1" si="120"/>
        <v>Corporation</v>
      </c>
      <c r="N323" t="str">
        <f t="shared" ca="1" si="121"/>
        <v>Cash</v>
      </c>
      <c r="O323" s="1">
        <f t="shared" ca="1" si="122"/>
        <v>147</v>
      </c>
      <c r="P323" s="2">
        <f t="shared" ca="1" si="123"/>
        <v>193098.50999999998</v>
      </c>
      <c r="Q323" s="2">
        <f t="shared" ca="1" si="124"/>
        <v>1167859</v>
      </c>
      <c r="R323" s="3">
        <f t="shared" ca="1" si="125"/>
        <v>56461.552631578947</v>
      </c>
      <c r="S323">
        <f t="shared" ca="1" si="126"/>
        <v>114</v>
      </c>
      <c r="T323" s="2">
        <f t="shared" ca="1" si="127"/>
        <v>5268757.7783426382</v>
      </c>
      <c r="U323" s="17">
        <f t="shared" ref="U323:U386" si="130">YEAR(B323)</f>
        <v>2021</v>
      </c>
      <c r="V323" s="20" t="str">
        <f t="shared" si="128"/>
        <v>Apr-2021</v>
      </c>
    </row>
    <row r="324" spans="1:22" x14ac:dyDescent="0.3">
      <c r="A324" t="str">
        <f t="shared" si="129"/>
        <v>TX-00324</v>
      </c>
      <c r="B324" s="6">
        <v>43842</v>
      </c>
      <c r="C324" t="str">
        <f t="shared" ca="1" si="111"/>
        <v>Land</v>
      </c>
      <c r="D324" s="1" t="str">
        <f t="shared" ca="1" si="112"/>
        <v>Laguna</v>
      </c>
      <c r="E324" s="1">
        <f t="shared" ca="1" si="113"/>
        <v>4</v>
      </c>
      <c r="F324" s="1">
        <f t="shared" ca="1" si="113"/>
        <v>4</v>
      </c>
      <c r="G324">
        <f t="shared" ca="1" si="114"/>
        <v>191</v>
      </c>
      <c r="H324">
        <f t="shared" ca="1" si="115"/>
        <v>213</v>
      </c>
      <c r="I324">
        <f t="shared" ca="1" si="116"/>
        <v>2014</v>
      </c>
      <c r="J324" s="2">
        <f t="shared" ca="1" si="117"/>
        <v>9666541</v>
      </c>
      <c r="K324" s="4">
        <f t="shared" ca="1" si="118"/>
        <v>3746731</v>
      </c>
      <c r="L324" t="str">
        <f t="shared" ca="1" si="119"/>
        <v>Joy Ramos</v>
      </c>
      <c r="M324" t="str">
        <f t="shared" ca="1" si="120"/>
        <v>Investor</v>
      </c>
      <c r="N324" t="str">
        <f t="shared" ca="1" si="121"/>
        <v>Pag-IBIG Loan</v>
      </c>
      <c r="O324" s="1">
        <f t="shared" ca="1" si="122"/>
        <v>108</v>
      </c>
      <c r="P324" s="2">
        <f t="shared" ca="1" si="123"/>
        <v>112401.93</v>
      </c>
      <c r="Q324" s="2">
        <f t="shared" ca="1" si="124"/>
        <v>-5919810</v>
      </c>
      <c r="R324" s="3">
        <f t="shared" ca="1" si="125"/>
        <v>17590.286384976527</v>
      </c>
      <c r="S324">
        <f t="shared" ca="1" si="126"/>
        <v>213</v>
      </c>
      <c r="T324" s="2">
        <f t="shared" ca="1" si="127"/>
        <v>9666541.6124020983</v>
      </c>
      <c r="U324" s="17">
        <f t="shared" si="130"/>
        <v>2020</v>
      </c>
      <c r="V324" s="20" t="str">
        <f t="shared" si="128"/>
        <v>Jan-2020</v>
      </c>
    </row>
    <row r="325" spans="1:22" x14ac:dyDescent="0.3">
      <c r="A325" t="str">
        <f t="shared" si="129"/>
        <v>TX-00325</v>
      </c>
      <c r="B325" s="6">
        <v>44544</v>
      </c>
      <c r="C325" t="str">
        <f t="shared" ca="1" si="111"/>
        <v>Commercial</v>
      </c>
      <c r="D325" s="1" t="str">
        <f t="shared" ca="1" si="112"/>
        <v>Cavite</v>
      </c>
      <c r="E325" s="1">
        <f t="shared" ca="1" si="113"/>
        <v>2</v>
      </c>
      <c r="F325" s="1">
        <f t="shared" ca="1" si="113"/>
        <v>3</v>
      </c>
      <c r="G325">
        <f t="shared" ca="1" si="114"/>
        <v>72</v>
      </c>
      <c r="H325">
        <f t="shared" ca="1" si="115"/>
        <v>120</v>
      </c>
      <c r="I325">
        <f t="shared" ca="1" si="116"/>
        <v>2014</v>
      </c>
      <c r="J325" s="2">
        <f t="shared" ca="1" si="117"/>
        <v>3456957</v>
      </c>
      <c r="K325" s="4">
        <f t="shared" ca="1" si="118"/>
        <v>12877124</v>
      </c>
      <c r="L325" t="str">
        <f t="shared" ca="1" si="119"/>
        <v>Anna Mendoza</v>
      </c>
      <c r="M325" t="str">
        <f t="shared" ca="1" si="120"/>
        <v>Investor</v>
      </c>
      <c r="N325" t="str">
        <f t="shared" ca="1" si="121"/>
        <v>Pag-IBIG Loan</v>
      </c>
      <c r="O325" s="1">
        <f t="shared" ca="1" si="122"/>
        <v>281</v>
      </c>
      <c r="P325" s="2">
        <f t="shared" ca="1" si="123"/>
        <v>386313.72</v>
      </c>
      <c r="Q325" s="2">
        <f t="shared" ca="1" si="124"/>
        <v>9420167</v>
      </c>
      <c r="R325" s="3">
        <f t="shared" ca="1" si="125"/>
        <v>107309.36666666667</v>
      </c>
      <c r="S325">
        <f t="shared" ca="1" si="126"/>
        <v>120</v>
      </c>
      <c r="T325" s="2">
        <f t="shared" ca="1" si="127"/>
        <v>3456954.2750118095</v>
      </c>
      <c r="U325" s="17">
        <f t="shared" si="130"/>
        <v>2021</v>
      </c>
      <c r="V325" s="20" t="str">
        <f t="shared" si="128"/>
        <v>Dec-2021</v>
      </c>
    </row>
    <row r="326" spans="1:22" x14ac:dyDescent="0.3">
      <c r="A326" t="str">
        <f t="shared" si="129"/>
        <v>TX-00326</v>
      </c>
      <c r="B326" s="6">
        <v>45955</v>
      </c>
      <c r="C326" t="str">
        <f t="shared" ca="1" si="111"/>
        <v>Condo</v>
      </c>
      <c r="D326" s="1" t="str">
        <f t="shared" ca="1" si="112"/>
        <v>Bulacan</v>
      </c>
      <c r="E326" s="1">
        <f t="shared" ca="1" si="113"/>
        <v>4</v>
      </c>
      <c r="F326" s="1">
        <f t="shared" ca="1" si="113"/>
        <v>3</v>
      </c>
      <c r="G326">
        <f t="shared" ca="1" si="114"/>
        <v>73</v>
      </c>
      <c r="H326">
        <f t="shared" ca="1" si="115"/>
        <v>64</v>
      </c>
      <c r="I326">
        <f t="shared" ca="1" si="116"/>
        <v>2016</v>
      </c>
      <c r="J326" s="2">
        <f t="shared" ca="1" si="117"/>
        <v>6877050</v>
      </c>
      <c r="K326" s="4">
        <f t="shared" ca="1" si="118"/>
        <v>7747205</v>
      </c>
      <c r="L326" t="str">
        <f t="shared" ca="1" si="119"/>
        <v>John Dela Cruz</v>
      </c>
      <c r="M326" t="str">
        <f t="shared" ca="1" si="120"/>
        <v>Investor</v>
      </c>
      <c r="N326" t="str">
        <f t="shared" ca="1" si="121"/>
        <v>Bank Loan</v>
      </c>
      <c r="O326" s="1">
        <f t="shared" ca="1" si="122"/>
        <v>180</v>
      </c>
      <c r="P326" s="2">
        <f t="shared" ca="1" si="123"/>
        <v>232416.15</v>
      </c>
      <c r="Q326" s="2">
        <f t="shared" ca="1" si="124"/>
        <v>870155</v>
      </c>
      <c r="R326" s="3">
        <f t="shared" ca="1" si="125"/>
        <v>106126.09589041096</v>
      </c>
      <c r="S326">
        <f t="shared" ca="1" si="126"/>
        <v>73</v>
      </c>
      <c r="T326" s="2">
        <f t="shared" ca="1" si="127"/>
        <v>6877049.873469729</v>
      </c>
      <c r="U326" s="17">
        <f t="shared" si="130"/>
        <v>2025</v>
      </c>
      <c r="V326" s="20" t="str">
        <f t="shared" si="128"/>
        <v>Oct-2025</v>
      </c>
    </row>
    <row r="327" spans="1:22" x14ac:dyDescent="0.3">
      <c r="A327" t="str">
        <f t="shared" si="129"/>
        <v>TX-00327</v>
      </c>
      <c r="B327" s="6">
        <v>44515</v>
      </c>
      <c r="C327" t="str">
        <f t="shared" ca="1" si="111"/>
        <v>House &amp; Lot</v>
      </c>
      <c r="D327" s="1" t="str">
        <f t="shared" ca="1" si="112"/>
        <v>Cavite</v>
      </c>
      <c r="E327" s="1">
        <f t="shared" ca="1" si="113"/>
        <v>4</v>
      </c>
      <c r="F327" s="1">
        <f t="shared" ca="1" si="113"/>
        <v>3</v>
      </c>
      <c r="G327">
        <f t="shared" ca="1" si="114"/>
        <v>79</v>
      </c>
      <c r="H327">
        <f t="shared" ca="1" si="115"/>
        <v>95</v>
      </c>
      <c r="I327">
        <f t="shared" ca="1" si="116"/>
        <v>2015</v>
      </c>
      <c r="J327" s="2">
        <f t="shared" ca="1" si="117"/>
        <v>9135374</v>
      </c>
      <c r="K327" s="4">
        <f t="shared" ca="1" si="118"/>
        <v>12394530</v>
      </c>
      <c r="L327" t="str">
        <f t="shared" ca="1" si="119"/>
        <v>Mark Reyes</v>
      </c>
      <c r="M327" t="str">
        <f t="shared" ca="1" si="120"/>
        <v>Individual</v>
      </c>
      <c r="N327" t="str">
        <f t="shared" ca="1" si="121"/>
        <v>Pag-IBIG Loan</v>
      </c>
      <c r="O327" s="1">
        <f t="shared" ca="1" si="122"/>
        <v>145</v>
      </c>
      <c r="P327" s="2">
        <f t="shared" ca="1" si="123"/>
        <v>371835.89999999997</v>
      </c>
      <c r="Q327" s="2">
        <f t="shared" ca="1" si="124"/>
        <v>3259156</v>
      </c>
      <c r="R327" s="3">
        <f t="shared" ca="1" si="125"/>
        <v>130468.73684210527</v>
      </c>
      <c r="S327">
        <f t="shared" ca="1" si="126"/>
        <v>95</v>
      </c>
      <c r="T327" s="2">
        <f t="shared" ca="1" si="127"/>
        <v>9135373.6432378143</v>
      </c>
      <c r="U327" s="17">
        <f t="shared" si="130"/>
        <v>2021</v>
      </c>
      <c r="V327" s="20" t="str">
        <f t="shared" si="128"/>
        <v>Nov-2021</v>
      </c>
    </row>
    <row r="328" spans="1:22" x14ac:dyDescent="0.3">
      <c r="A328" t="str">
        <f t="shared" si="129"/>
        <v>TX-00328</v>
      </c>
      <c r="B328" s="6">
        <v>44445</v>
      </c>
      <c r="C328" t="str">
        <f t="shared" ca="1" si="111"/>
        <v>Land</v>
      </c>
      <c r="D328" s="1" t="str">
        <f t="shared" ca="1" si="112"/>
        <v>Makati</v>
      </c>
      <c r="E328" s="1">
        <f t="shared" ca="1" si="113"/>
        <v>3</v>
      </c>
      <c r="F328" s="1">
        <f t="shared" ca="1" si="113"/>
        <v>2</v>
      </c>
      <c r="G328">
        <f t="shared" ca="1" si="114"/>
        <v>71</v>
      </c>
      <c r="H328">
        <f t="shared" ca="1" si="115"/>
        <v>126</v>
      </c>
      <c r="I328">
        <f t="shared" ca="1" si="116"/>
        <v>2016</v>
      </c>
      <c r="J328" s="2">
        <f t="shared" ca="1" si="117"/>
        <v>4508896</v>
      </c>
      <c r="K328" s="4">
        <f t="shared" ca="1" si="118"/>
        <v>2160171</v>
      </c>
      <c r="L328" t="str">
        <f t="shared" ca="1" si="119"/>
        <v>John Dela Cruz</v>
      </c>
      <c r="M328" t="str">
        <f t="shared" ca="1" si="120"/>
        <v>Corporation</v>
      </c>
      <c r="N328" t="str">
        <f t="shared" ca="1" si="121"/>
        <v>Cash</v>
      </c>
      <c r="O328" s="1">
        <f t="shared" ca="1" si="122"/>
        <v>178</v>
      </c>
      <c r="P328" s="2">
        <f t="shared" ca="1" si="123"/>
        <v>64805.13</v>
      </c>
      <c r="Q328" s="2">
        <f t="shared" ca="1" si="124"/>
        <v>-2348725</v>
      </c>
      <c r="R328" s="3">
        <f t="shared" ca="1" si="125"/>
        <v>17144.214285714286</v>
      </c>
      <c r="S328">
        <f t="shared" ca="1" si="126"/>
        <v>126</v>
      </c>
      <c r="T328" s="2">
        <f t="shared" ca="1" si="127"/>
        <v>4508896.5209091092</v>
      </c>
      <c r="U328" s="17">
        <f t="shared" si="130"/>
        <v>2021</v>
      </c>
      <c r="V328" s="20" t="str">
        <f t="shared" si="128"/>
        <v>Sep-2021</v>
      </c>
    </row>
    <row r="329" spans="1:22" x14ac:dyDescent="0.3">
      <c r="A329" t="str">
        <f t="shared" si="129"/>
        <v>TX-00329</v>
      </c>
      <c r="B329" s="6">
        <v>43726</v>
      </c>
      <c r="C329" t="str">
        <f t="shared" ca="1" si="111"/>
        <v>Condo</v>
      </c>
      <c r="D329" s="1" t="str">
        <f t="shared" ca="1" si="112"/>
        <v>Laguna</v>
      </c>
      <c r="E329" s="1">
        <f t="shared" ca="1" si="113"/>
        <v>3</v>
      </c>
      <c r="F329" s="1">
        <f t="shared" ca="1" si="113"/>
        <v>4</v>
      </c>
      <c r="G329">
        <f t="shared" ca="1" si="114"/>
        <v>113</v>
      </c>
      <c r="H329">
        <f t="shared" ca="1" si="115"/>
        <v>176</v>
      </c>
      <c r="I329">
        <f t="shared" ca="1" si="116"/>
        <v>2017</v>
      </c>
      <c r="J329" s="2">
        <f t="shared" ca="1" si="117"/>
        <v>2221086</v>
      </c>
      <c r="K329" s="4">
        <f t="shared" ca="1" si="118"/>
        <v>5381933</v>
      </c>
      <c r="L329" t="str">
        <f t="shared" ca="1" si="119"/>
        <v>Michelle Flores</v>
      </c>
      <c r="M329" t="str">
        <f t="shared" ca="1" si="120"/>
        <v>Corporation</v>
      </c>
      <c r="N329" t="str">
        <f t="shared" ca="1" si="121"/>
        <v>Pag-IBIG Loan</v>
      </c>
      <c r="O329" s="1">
        <f t="shared" ca="1" si="122"/>
        <v>332</v>
      </c>
      <c r="P329" s="2">
        <f t="shared" ca="1" si="123"/>
        <v>161457.99</v>
      </c>
      <c r="Q329" s="2">
        <f t="shared" ca="1" si="124"/>
        <v>3160847</v>
      </c>
      <c r="R329" s="3">
        <f t="shared" ca="1" si="125"/>
        <v>47627.725663716818</v>
      </c>
      <c r="S329">
        <f t="shared" ca="1" si="126"/>
        <v>113</v>
      </c>
      <c r="T329" s="2">
        <f t="shared" ca="1" si="127"/>
        <v>2221084.5768912146</v>
      </c>
      <c r="U329" s="17">
        <f t="shared" si="130"/>
        <v>2019</v>
      </c>
      <c r="V329" s="20" t="str">
        <f t="shared" si="128"/>
        <v>Sep-2019</v>
      </c>
    </row>
    <row r="330" spans="1:22" x14ac:dyDescent="0.3">
      <c r="A330" t="str">
        <f t="shared" si="129"/>
        <v>TX-00330</v>
      </c>
      <c r="B330" s="6">
        <v>44823</v>
      </c>
      <c r="C330" t="str">
        <f t="shared" ca="1" si="111"/>
        <v>House &amp; Lot</v>
      </c>
      <c r="D330" s="1" t="str">
        <f t="shared" ca="1" si="112"/>
        <v>Laguna</v>
      </c>
      <c r="E330" s="1">
        <f t="shared" ca="1" si="113"/>
        <v>2</v>
      </c>
      <c r="F330" s="1">
        <f t="shared" ca="1" si="113"/>
        <v>4</v>
      </c>
      <c r="G330">
        <f t="shared" ca="1" si="114"/>
        <v>159</v>
      </c>
      <c r="H330">
        <f t="shared" ca="1" si="115"/>
        <v>179</v>
      </c>
      <c r="I330">
        <f t="shared" ca="1" si="116"/>
        <v>2016</v>
      </c>
      <c r="J330" s="2">
        <f t="shared" ca="1" si="117"/>
        <v>7574010</v>
      </c>
      <c r="K330" s="4">
        <f t="shared" ca="1" si="118"/>
        <v>12042997</v>
      </c>
      <c r="L330" t="str">
        <f t="shared" ca="1" si="119"/>
        <v>Daniel Cruz</v>
      </c>
      <c r="M330" t="str">
        <f t="shared" ca="1" si="120"/>
        <v>Corporation</v>
      </c>
      <c r="N330" t="str">
        <f t="shared" ca="1" si="121"/>
        <v>Cash</v>
      </c>
      <c r="O330" s="1">
        <f t="shared" ca="1" si="122"/>
        <v>223</v>
      </c>
      <c r="P330" s="2">
        <f t="shared" ca="1" si="123"/>
        <v>361289.91</v>
      </c>
      <c r="Q330" s="2">
        <f t="shared" ca="1" si="124"/>
        <v>4468987</v>
      </c>
      <c r="R330" s="3">
        <f t="shared" ca="1" si="125"/>
        <v>67279.312849162015</v>
      </c>
      <c r="S330">
        <f t="shared" ca="1" si="126"/>
        <v>179</v>
      </c>
      <c r="T330" s="2">
        <f t="shared" ca="1" si="127"/>
        <v>7574009.4099576054</v>
      </c>
      <c r="U330" s="17">
        <f t="shared" si="130"/>
        <v>2022</v>
      </c>
      <c r="V330" s="20" t="str">
        <f t="shared" si="128"/>
        <v>Sep-2022</v>
      </c>
    </row>
    <row r="331" spans="1:22" x14ac:dyDescent="0.3">
      <c r="A331" t="str">
        <f t="shared" si="129"/>
        <v>TX-00331</v>
      </c>
      <c r="B331" s="6">
        <v>45473</v>
      </c>
      <c r="C331" t="str">
        <f t="shared" ca="1" si="111"/>
        <v>House &amp; Lot</v>
      </c>
      <c r="D331" s="1" t="str">
        <f t="shared" ca="1" si="112"/>
        <v>Laguna</v>
      </c>
      <c r="E331" s="1">
        <f t="shared" ca="1" si="113"/>
        <v>2</v>
      </c>
      <c r="F331" s="1">
        <f t="shared" ca="1" si="113"/>
        <v>4</v>
      </c>
      <c r="G331">
        <f t="shared" ca="1" si="114"/>
        <v>41</v>
      </c>
      <c r="H331">
        <f t="shared" ca="1" si="115"/>
        <v>225</v>
      </c>
      <c r="I331">
        <f t="shared" ca="1" si="116"/>
        <v>2020</v>
      </c>
      <c r="J331" s="2">
        <f t="shared" ca="1" si="117"/>
        <v>9036208</v>
      </c>
      <c r="K331" s="4">
        <f t="shared" ca="1" si="118"/>
        <v>10775029</v>
      </c>
      <c r="L331" t="str">
        <f t="shared" ca="1" si="119"/>
        <v>Michael Santos</v>
      </c>
      <c r="M331" t="str">
        <f t="shared" ca="1" si="120"/>
        <v>Individual</v>
      </c>
      <c r="N331" t="str">
        <f t="shared" ca="1" si="121"/>
        <v>Cash</v>
      </c>
      <c r="O331" s="1">
        <f t="shared" ca="1" si="122"/>
        <v>398</v>
      </c>
      <c r="P331" s="2">
        <f t="shared" ca="1" si="123"/>
        <v>323250.87</v>
      </c>
      <c r="Q331" s="2">
        <f t="shared" ca="1" si="124"/>
        <v>1738821</v>
      </c>
      <c r="R331" s="3">
        <f t="shared" ca="1" si="125"/>
        <v>47889.017777777779</v>
      </c>
      <c r="S331">
        <f t="shared" ca="1" si="126"/>
        <v>225</v>
      </c>
      <c r="T331" s="2">
        <f t="shared" ca="1" si="127"/>
        <v>9036207.8075718265</v>
      </c>
      <c r="U331" s="17">
        <f t="shared" si="130"/>
        <v>2024</v>
      </c>
      <c r="V331" s="20" t="str">
        <f t="shared" si="128"/>
        <v>Jun-2024</v>
      </c>
    </row>
    <row r="332" spans="1:22" x14ac:dyDescent="0.3">
      <c r="A332" t="str">
        <f t="shared" si="129"/>
        <v>TX-00332</v>
      </c>
      <c r="B332" s="6">
        <v>45155</v>
      </c>
      <c r="C332" t="str">
        <f t="shared" ca="1" si="111"/>
        <v>House &amp; Lot</v>
      </c>
      <c r="D332" s="1" t="str">
        <f t="shared" ca="1" si="112"/>
        <v>Laguna</v>
      </c>
      <c r="E332" s="1">
        <f t="shared" ca="1" si="113"/>
        <v>1</v>
      </c>
      <c r="F332" s="1">
        <f t="shared" ca="1" si="113"/>
        <v>1</v>
      </c>
      <c r="G332">
        <f t="shared" ca="1" si="114"/>
        <v>136</v>
      </c>
      <c r="H332">
        <f t="shared" ca="1" si="115"/>
        <v>107</v>
      </c>
      <c r="I332">
        <f t="shared" ca="1" si="116"/>
        <v>2018</v>
      </c>
      <c r="J332" s="2">
        <f t="shared" ca="1" si="117"/>
        <v>14349468</v>
      </c>
      <c r="K332" s="4">
        <f t="shared" ca="1" si="118"/>
        <v>2879660</v>
      </c>
      <c r="L332" t="str">
        <f t="shared" ca="1" si="119"/>
        <v>Mark Reyes</v>
      </c>
      <c r="M332" t="str">
        <f t="shared" ca="1" si="120"/>
        <v>OFW</v>
      </c>
      <c r="N332" t="str">
        <f t="shared" ca="1" si="121"/>
        <v>Installment</v>
      </c>
      <c r="O332" s="1">
        <f t="shared" ca="1" si="122"/>
        <v>374</v>
      </c>
      <c r="P332" s="2">
        <f t="shared" ca="1" si="123"/>
        <v>86389.8</v>
      </c>
      <c r="Q332" s="2">
        <f t="shared" ca="1" si="124"/>
        <v>-11469808</v>
      </c>
      <c r="R332" s="3">
        <f t="shared" ca="1" si="125"/>
        <v>26912.710280373831</v>
      </c>
      <c r="S332">
        <f t="shared" ca="1" si="126"/>
        <v>107</v>
      </c>
      <c r="T332" s="2">
        <f t="shared" ca="1" si="127"/>
        <v>14349468.79931939</v>
      </c>
      <c r="U332" s="17">
        <f t="shared" si="130"/>
        <v>2023</v>
      </c>
      <c r="V332" s="20" t="str">
        <f t="shared" si="128"/>
        <v>Aug-2023</v>
      </c>
    </row>
    <row r="333" spans="1:22" x14ac:dyDescent="0.3">
      <c r="A333" t="str">
        <f t="shared" si="129"/>
        <v>TX-00333</v>
      </c>
      <c r="B333" s="6">
        <v>44223</v>
      </c>
      <c r="C333" t="str">
        <f t="shared" ca="1" si="111"/>
        <v>House &amp; Lot</v>
      </c>
      <c r="D333" s="1" t="str">
        <f t="shared" ca="1" si="112"/>
        <v>Bulacan</v>
      </c>
      <c r="E333" s="1">
        <f t="shared" ca="1" si="113"/>
        <v>1</v>
      </c>
      <c r="F333" s="1">
        <f t="shared" ca="1" si="113"/>
        <v>3</v>
      </c>
      <c r="G333">
        <f t="shared" ca="1" si="114"/>
        <v>77</v>
      </c>
      <c r="H333">
        <f t="shared" ca="1" si="115"/>
        <v>143</v>
      </c>
      <c r="I333">
        <f t="shared" ca="1" si="116"/>
        <v>2013</v>
      </c>
      <c r="J333" s="2">
        <f t="shared" ca="1" si="117"/>
        <v>13866374</v>
      </c>
      <c r="K333" s="4">
        <f t="shared" ca="1" si="118"/>
        <v>10751384</v>
      </c>
      <c r="L333" t="str">
        <f t="shared" ca="1" si="119"/>
        <v>Daniel Cruz</v>
      </c>
      <c r="M333" t="str">
        <f t="shared" ca="1" si="120"/>
        <v>Corporation</v>
      </c>
      <c r="N333" t="str">
        <f t="shared" ca="1" si="121"/>
        <v>Cash</v>
      </c>
      <c r="O333" s="1">
        <f t="shared" ca="1" si="122"/>
        <v>396</v>
      </c>
      <c r="P333" s="2">
        <f t="shared" ca="1" si="123"/>
        <v>322541.51999999996</v>
      </c>
      <c r="Q333" s="2">
        <f t="shared" ca="1" si="124"/>
        <v>-3114990</v>
      </c>
      <c r="R333" s="3">
        <f t="shared" ca="1" si="125"/>
        <v>75184.503496503501</v>
      </c>
      <c r="S333">
        <f t="shared" ca="1" si="126"/>
        <v>143</v>
      </c>
      <c r="T333" s="2">
        <f t="shared" ca="1" si="127"/>
        <v>13866374.224643443</v>
      </c>
      <c r="U333" s="17">
        <f t="shared" si="130"/>
        <v>2021</v>
      </c>
      <c r="V333" s="20" t="str">
        <f t="shared" si="128"/>
        <v>Jan-2021</v>
      </c>
    </row>
    <row r="334" spans="1:22" x14ac:dyDescent="0.3">
      <c r="A334" t="str">
        <f t="shared" si="129"/>
        <v>TX-00334</v>
      </c>
      <c r="B334" s="6">
        <v>43309</v>
      </c>
      <c r="C334" t="str">
        <f t="shared" ca="1" si="111"/>
        <v>Condo</v>
      </c>
      <c r="D334" s="1" t="str">
        <f t="shared" ca="1" si="112"/>
        <v>Bulacan</v>
      </c>
      <c r="E334" s="1">
        <f t="shared" ca="1" si="113"/>
        <v>3</v>
      </c>
      <c r="F334" s="1">
        <f t="shared" ca="1" si="113"/>
        <v>2</v>
      </c>
      <c r="G334">
        <f t="shared" ca="1" si="114"/>
        <v>98</v>
      </c>
      <c r="H334">
        <f t="shared" ca="1" si="115"/>
        <v>190</v>
      </c>
      <c r="I334">
        <f t="shared" ca="1" si="116"/>
        <v>2018</v>
      </c>
      <c r="J334" s="2">
        <f t="shared" ca="1" si="117"/>
        <v>2676523</v>
      </c>
      <c r="K334" s="4">
        <f t="shared" ca="1" si="118"/>
        <v>10566279</v>
      </c>
      <c r="L334" t="str">
        <f t="shared" ca="1" si="119"/>
        <v>Rachel Villanueva</v>
      </c>
      <c r="M334" t="str">
        <f t="shared" ca="1" si="120"/>
        <v>OFW</v>
      </c>
      <c r="N334" t="str">
        <f t="shared" ca="1" si="121"/>
        <v>Installment</v>
      </c>
      <c r="O334" s="1">
        <f t="shared" ca="1" si="122"/>
        <v>300</v>
      </c>
      <c r="P334" s="2">
        <f t="shared" ca="1" si="123"/>
        <v>316988.37</v>
      </c>
      <c r="Q334" s="2">
        <f t="shared" ca="1" si="124"/>
        <v>7889756</v>
      </c>
      <c r="R334" s="3">
        <f t="shared" ca="1" si="125"/>
        <v>107819.17346938775</v>
      </c>
      <c r="S334">
        <f t="shared" ca="1" si="126"/>
        <v>98</v>
      </c>
      <c r="T334" s="2">
        <f t="shared" ca="1" si="127"/>
        <v>2676520.0522368015</v>
      </c>
      <c r="U334" s="17">
        <f t="shared" si="130"/>
        <v>2018</v>
      </c>
      <c r="V334" s="20" t="str">
        <f t="shared" si="128"/>
        <v>Jul-2018</v>
      </c>
    </row>
    <row r="335" spans="1:22" x14ac:dyDescent="0.3">
      <c r="A335" t="str">
        <f t="shared" si="129"/>
        <v>TX-00335</v>
      </c>
      <c r="B335" s="6">
        <v>43928</v>
      </c>
      <c r="C335" t="str">
        <f t="shared" ca="1" si="111"/>
        <v>House &amp; Lot</v>
      </c>
      <c r="D335" s="1" t="str">
        <f t="shared" ca="1" si="112"/>
        <v>Laguna</v>
      </c>
      <c r="E335" s="1">
        <f t="shared" ca="1" si="113"/>
        <v>2</v>
      </c>
      <c r="F335" s="1">
        <f t="shared" ca="1" si="113"/>
        <v>2</v>
      </c>
      <c r="G335">
        <f t="shared" ca="1" si="114"/>
        <v>171</v>
      </c>
      <c r="H335">
        <f t="shared" ca="1" si="115"/>
        <v>66</v>
      </c>
      <c r="I335">
        <f t="shared" ca="1" si="116"/>
        <v>2016</v>
      </c>
      <c r="J335" s="2">
        <f t="shared" ca="1" si="117"/>
        <v>8490049</v>
      </c>
      <c r="K335" s="4">
        <f t="shared" ca="1" si="118"/>
        <v>6082313</v>
      </c>
      <c r="L335" t="str">
        <f t="shared" ca="1" si="119"/>
        <v>Michael Santos</v>
      </c>
      <c r="M335" t="str">
        <f t="shared" ca="1" si="120"/>
        <v>Individual</v>
      </c>
      <c r="N335" t="str">
        <f t="shared" ca="1" si="121"/>
        <v>Pag-IBIG Loan</v>
      </c>
      <c r="O335" s="1">
        <f t="shared" ca="1" si="122"/>
        <v>330</v>
      </c>
      <c r="P335" s="2">
        <f t="shared" ca="1" si="123"/>
        <v>182469.38999999998</v>
      </c>
      <c r="Q335" s="2">
        <f t="shared" ca="1" si="124"/>
        <v>-2407736</v>
      </c>
      <c r="R335" s="3">
        <f t="shared" ca="1" si="125"/>
        <v>92156.257575757569</v>
      </c>
      <c r="S335">
        <f t="shared" ca="1" si="126"/>
        <v>66</v>
      </c>
      <c r="T335" s="2">
        <f t="shared" ca="1" si="127"/>
        <v>8490049.2835950647</v>
      </c>
      <c r="U335" s="17">
        <f t="shared" si="130"/>
        <v>2020</v>
      </c>
      <c r="V335" s="20" t="str">
        <f t="shared" si="128"/>
        <v>Apr-2020</v>
      </c>
    </row>
    <row r="336" spans="1:22" x14ac:dyDescent="0.3">
      <c r="A336" t="str">
        <f t="shared" si="129"/>
        <v>TX-00336</v>
      </c>
      <c r="B336" s="6">
        <v>44508</v>
      </c>
      <c r="C336" t="str">
        <f t="shared" ca="1" si="111"/>
        <v>House &amp; Lot</v>
      </c>
      <c r="D336" s="1" t="str">
        <f t="shared" ca="1" si="112"/>
        <v>Laguna</v>
      </c>
      <c r="E336" s="1">
        <f t="shared" ca="1" si="113"/>
        <v>4</v>
      </c>
      <c r="F336" s="1">
        <f t="shared" ca="1" si="113"/>
        <v>3</v>
      </c>
      <c r="G336">
        <f t="shared" ca="1" si="114"/>
        <v>172</v>
      </c>
      <c r="H336">
        <f t="shared" ca="1" si="115"/>
        <v>197</v>
      </c>
      <c r="I336">
        <f t="shared" ca="1" si="116"/>
        <v>2023</v>
      </c>
      <c r="J336" s="2">
        <f t="shared" ca="1" si="117"/>
        <v>9604453</v>
      </c>
      <c r="K336" s="4">
        <f t="shared" ca="1" si="118"/>
        <v>6730253</v>
      </c>
      <c r="L336" t="str">
        <f t="shared" ca="1" si="119"/>
        <v>John Dela Cruz</v>
      </c>
      <c r="M336" t="str">
        <f t="shared" ca="1" si="120"/>
        <v>Investor</v>
      </c>
      <c r="N336" t="str">
        <f t="shared" ca="1" si="121"/>
        <v>Pag-IBIG Loan</v>
      </c>
      <c r="O336" s="1">
        <f t="shared" ca="1" si="122"/>
        <v>309</v>
      </c>
      <c r="P336" s="2">
        <f t="shared" ca="1" si="123"/>
        <v>201907.59</v>
      </c>
      <c r="Q336" s="2">
        <f t="shared" ca="1" si="124"/>
        <v>-2874200</v>
      </c>
      <c r="R336" s="3">
        <f t="shared" ca="1" si="125"/>
        <v>34163.720812182743</v>
      </c>
      <c r="S336">
        <f t="shared" ca="1" si="126"/>
        <v>197</v>
      </c>
      <c r="T336" s="2">
        <f t="shared" ca="1" si="127"/>
        <v>9604453.2992570214</v>
      </c>
      <c r="U336" s="17">
        <f t="shared" si="130"/>
        <v>2021</v>
      </c>
      <c r="V336" s="20" t="str">
        <f t="shared" si="128"/>
        <v>Nov-2021</v>
      </c>
    </row>
    <row r="337" spans="1:22" x14ac:dyDescent="0.3">
      <c r="A337" t="str">
        <f t="shared" si="129"/>
        <v>TX-00337</v>
      </c>
      <c r="B337" s="6">
        <v>44700</v>
      </c>
      <c r="C337" t="str">
        <f t="shared" ca="1" si="111"/>
        <v>House &amp; Lot</v>
      </c>
      <c r="D337" s="1" t="str">
        <f t="shared" ca="1" si="112"/>
        <v>Cavite</v>
      </c>
      <c r="E337" s="1">
        <f t="shared" ca="1" si="113"/>
        <v>3</v>
      </c>
      <c r="F337" s="1">
        <f t="shared" ca="1" si="113"/>
        <v>4</v>
      </c>
      <c r="G337">
        <f t="shared" ca="1" si="114"/>
        <v>84</v>
      </c>
      <c r="H337">
        <f t="shared" ca="1" si="115"/>
        <v>140</v>
      </c>
      <c r="I337">
        <f t="shared" ca="1" si="116"/>
        <v>2020</v>
      </c>
      <c r="J337" s="2">
        <f t="shared" ca="1" si="117"/>
        <v>14227251</v>
      </c>
      <c r="K337" s="4">
        <f t="shared" ca="1" si="118"/>
        <v>5237226</v>
      </c>
      <c r="L337" t="str">
        <f t="shared" ca="1" si="119"/>
        <v>John Dela Cruz</v>
      </c>
      <c r="M337" t="str">
        <f t="shared" ca="1" si="120"/>
        <v>Corporation</v>
      </c>
      <c r="N337" t="str">
        <f t="shared" ca="1" si="121"/>
        <v>Bank Loan</v>
      </c>
      <c r="O337" s="1">
        <f t="shared" ca="1" si="122"/>
        <v>290</v>
      </c>
      <c r="P337" s="2">
        <f t="shared" ca="1" si="123"/>
        <v>157116.78</v>
      </c>
      <c r="Q337" s="2">
        <f t="shared" ca="1" si="124"/>
        <v>-8990025</v>
      </c>
      <c r="R337" s="3">
        <f t="shared" ca="1" si="125"/>
        <v>37408.757142857146</v>
      </c>
      <c r="S337">
        <f t="shared" ca="1" si="126"/>
        <v>140</v>
      </c>
      <c r="T337" s="2">
        <f t="shared" ca="1" si="127"/>
        <v>14227251.631887706</v>
      </c>
      <c r="U337" s="17">
        <f t="shared" si="130"/>
        <v>2022</v>
      </c>
      <c r="V337" s="20" t="str">
        <f t="shared" si="128"/>
        <v>May-2022</v>
      </c>
    </row>
    <row r="338" spans="1:22" x14ac:dyDescent="0.3">
      <c r="A338" t="str">
        <f t="shared" si="129"/>
        <v>TX-00338</v>
      </c>
      <c r="B338" s="6">
        <v>44891</v>
      </c>
      <c r="C338" t="str">
        <f t="shared" ca="1" si="111"/>
        <v>House &amp; Lot</v>
      </c>
      <c r="D338" s="1" t="str">
        <f t="shared" ca="1" si="112"/>
        <v>Bulacan</v>
      </c>
      <c r="E338" s="1">
        <f t="shared" ca="1" si="113"/>
        <v>2</v>
      </c>
      <c r="F338" s="1">
        <f t="shared" ca="1" si="113"/>
        <v>4</v>
      </c>
      <c r="G338">
        <f t="shared" ca="1" si="114"/>
        <v>165</v>
      </c>
      <c r="H338">
        <f t="shared" ca="1" si="115"/>
        <v>199</v>
      </c>
      <c r="I338">
        <f t="shared" ca="1" si="116"/>
        <v>2014</v>
      </c>
      <c r="J338" s="2">
        <f t="shared" ca="1" si="117"/>
        <v>6130018</v>
      </c>
      <c r="K338" s="4">
        <f t="shared" ca="1" si="118"/>
        <v>3688497</v>
      </c>
      <c r="L338" t="str">
        <f t="shared" ca="1" si="119"/>
        <v>Joy Ramos</v>
      </c>
      <c r="M338" t="str">
        <f t="shared" ca="1" si="120"/>
        <v>Individual</v>
      </c>
      <c r="N338" t="str">
        <f t="shared" ca="1" si="121"/>
        <v>Pag-IBIG Loan</v>
      </c>
      <c r="O338" s="1">
        <f t="shared" ca="1" si="122"/>
        <v>341</v>
      </c>
      <c r="P338" s="2">
        <f t="shared" ca="1" si="123"/>
        <v>110654.90999999999</v>
      </c>
      <c r="Q338" s="2">
        <f t="shared" ca="1" si="124"/>
        <v>-2441521</v>
      </c>
      <c r="R338" s="3">
        <f t="shared" ca="1" si="125"/>
        <v>18535.160804020099</v>
      </c>
      <c r="S338">
        <f t="shared" ca="1" si="126"/>
        <v>199</v>
      </c>
      <c r="T338" s="2">
        <f t="shared" ca="1" si="127"/>
        <v>6130018.3982893685</v>
      </c>
      <c r="U338" s="17">
        <f t="shared" si="130"/>
        <v>2022</v>
      </c>
      <c r="V338" s="20" t="str">
        <f t="shared" si="128"/>
        <v>Nov-2022</v>
      </c>
    </row>
    <row r="339" spans="1:22" x14ac:dyDescent="0.3">
      <c r="A339" t="str">
        <f t="shared" si="129"/>
        <v>TX-00339</v>
      </c>
      <c r="B339" s="6">
        <v>45711</v>
      </c>
      <c r="C339" t="str">
        <f t="shared" ca="1" si="111"/>
        <v>House &amp; Lot</v>
      </c>
      <c r="D339" s="1" t="str">
        <f t="shared" ca="1" si="112"/>
        <v>Laguna</v>
      </c>
      <c r="E339" s="1">
        <f t="shared" ca="1" si="113"/>
        <v>4</v>
      </c>
      <c r="F339" s="1">
        <f t="shared" ca="1" si="113"/>
        <v>2</v>
      </c>
      <c r="G339">
        <f t="shared" ca="1" si="114"/>
        <v>42</v>
      </c>
      <c r="H339">
        <f t="shared" ca="1" si="115"/>
        <v>107</v>
      </c>
      <c r="I339">
        <f t="shared" ca="1" si="116"/>
        <v>2016</v>
      </c>
      <c r="J339" s="2">
        <f t="shared" ca="1" si="117"/>
        <v>6031471</v>
      </c>
      <c r="K339" s="4">
        <f t="shared" ca="1" si="118"/>
        <v>2666899</v>
      </c>
      <c r="L339" t="str">
        <f t="shared" ca="1" si="119"/>
        <v>Rachel Villanueva</v>
      </c>
      <c r="M339" t="str">
        <f t="shared" ca="1" si="120"/>
        <v>Corporation</v>
      </c>
      <c r="N339" t="str">
        <f t="shared" ca="1" si="121"/>
        <v>Cash</v>
      </c>
      <c r="O339" s="1">
        <f t="shared" ca="1" si="122"/>
        <v>364</v>
      </c>
      <c r="P339" s="2">
        <f t="shared" ca="1" si="123"/>
        <v>80006.97</v>
      </c>
      <c r="Q339" s="2">
        <f t="shared" ca="1" si="124"/>
        <v>-3364572</v>
      </c>
      <c r="R339" s="3">
        <f t="shared" ca="1" si="125"/>
        <v>24924.289719626169</v>
      </c>
      <c r="S339">
        <f t="shared" ca="1" si="126"/>
        <v>107</v>
      </c>
      <c r="T339" s="2">
        <f t="shared" ca="1" si="127"/>
        <v>6031471.5578360567</v>
      </c>
      <c r="U339" s="17">
        <f t="shared" si="130"/>
        <v>2025</v>
      </c>
      <c r="V339" s="20" t="str">
        <f t="shared" si="128"/>
        <v>Feb-2025</v>
      </c>
    </row>
    <row r="340" spans="1:22" x14ac:dyDescent="0.3">
      <c r="A340" t="str">
        <f t="shared" si="129"/>
        <v>TX-00340</v>
      </c>
      <c r="B340" s="6">
        <v>43520</v>
      </c>
      <c r="C340" t="str">
        <f t="shared" ca="1" si="111"/>
        <v>Condo</v>
      </c>
      <c r="D340" s="1" t="str">
        <f t="shared" ca="1" si="112"/>
        <v>Bulacan</v>
      </c>
      <c r="E340" s="1">
        <f t="shared" ca="1" si="113"/>
        <v>2</v>
      </c>
      <c r="F340" s="1">
        <f t="shared" ca="1" si="113"/>
        <v>4</v>
      </c>
      <c r="G340">
        <f t="shared" ca="1" si="114"/>
        <v>137</v>
      </c>
      <c r="H340">
        <f t="shared" ca="1" si="115"/>
        <v>72</v>
      </c>
      <c r="I340">
        <f t="shared" ca="1" si="116"/>
        <v>2020</v>
      </c>
      <c r="J340" s="2">
        <f t="shared" ca="1" si="117"/>
        <v>6414360</v>
      </c>
      <c r="K340" s="4">
        <f t="shared" ca="1" si="118"/>
        <v>5083073</v>
      </c>
      <c r="L340" t="str">
        <f t="shared" ca="1" si="119"/>
        <v>Mark Reyes</v>
      </c>
      <c r="M340" t="str">
        <f t="shared" ca="1" si="120"/>
        <v>Corporation</v>
      </c>
      <c r="N340" t="str">
        <f t="shared" ca="1" si="121"/>
        <v>Installment</v>
      </c>
      <c r="O340" s="1">
        <f t="shared" ca="1" si="122"/>
        <v>337</v>
      </c>
      <c r="P340" s="2">
        <f t="shared" ca="1" si="123"/>
        <v>152492.19</v>
      </c>
      <c r="Q340" s="2">
        <f t="shared" ca="1" si="124"/>
        <v>-1331287</v>
      </c>
      <c r="R340" s="3">
        <f t="shared" ca="1" si="125"/>
        <v>37102.722627737225</v>
      </c>
      <c r="S340">
        <f t="shared" ca="1" si="126"/>
        <v>137</v>
      </c>
      <c r="T340" s="2">
        <f t="shared" ca="1" si="127"/>
        <v>6414360.2075479077</v>
      </c>
      <c r="U340" s="17">
        <f t="shared" si="130"/>
        <v>2019</v>
      </c>
      <c r="V340" s="20" t="str">
        <f t="shared" si="128"/>
        <v>Feb-2019</v>
      </c>
    </row>
    <row r="341" spans="1:22" x14ac:dyDescent="0.3">
      <c r="A341" t="str">
        <f t="shared" si="129"/>
        <v>TX-00341</v>
      </c>
      <c r="B341" s="6">
        <v>43160</v>
      </c>
      <c r="C341" t="str">
        <f t="shared" ca="1" si="111"/>
        <v>Commercial</v>
      </c>
      <c r="D341" s="1" t="str">
        <f t="shared" ca="1" si="112"/>
        <v>Cavite</v>
      </c>
      <c r="E341" s="1">
        <f t="shared" ca="1" si="113"/>
        <v>2</v>
      </c>
      <c r="F341" s="1">
        <f t="shared" ca="1" si="113"/>
        <v>3</v>
      </c>
      <c r="G341">
        <f t="shared" ca="1" si="114"/>
        <v>91</v>
      </c>
      <c r="H341">
        <f t="shared" ca="1" si="115"/>
        <v>170</v>
      </c>
      <c r="I341">
        <f t="shared" ca="1" si="116"/>
        <v>2015</v>
      </c>
      <c r="J341" s="2">
        <f t="shared" ca="1" si="117"/>
        <v>10213884</v>
      </c>
      <c r="K341" s="4">
        <f t="shared" ca="1" si="118"/>
        <v>8117809</v>
      </c>
      <c r="L341" t="str">
        <f t="shared" ca="1" si="119"/>
        <v>Rachel Villanueva</v>
      </c>
      <c r="M341" t="str">
        <f t="shared" ca="1" si="120"/>
        <v>Corporation</v>
      </c>
      <c r="N341" t="str">
        <f t="shared" ca="1" si="121"/>
        <v>Installment</v>
      </c>
      <c r="O341" s="1">
        <f t="shared" ca="1" si="122"/>
        <v>372</v>
      </c>
      <c r="P341" s="2">
        <f t="shared" ca="1" si="123"/>
        <v>243534.27</v>
      </c>
      <c r="Q341" s="2">
        <f t="shared" ca="1" si="124"/>
        <v>-2096075</v>
      </c>
      <c r="R341" s="3">
        <f t="shared" ca="1" si="125"/>
        <v>47751.817647058822</v>
      </c>
      <c r="S341">
        <f t="shared" ca="1" si="126"/>
        <v>170</v>
      </c>
      <c r="T341" s="2">
        <f t="shared" ca="1" si="127"/>
        <v>10213884.205218211</v>
      </c>
      <c r="U341" s="17">
        <f t="shared" si="130"/>
        <v>2018</v>
      </c>
      <c r="V341" s="20" t="str">
        <f t="shared" si="128"/>
        <v>Mar-2018</v>
      </c>
    </row>
    <row r="342" spans="1:22" x14ac:dyDescent="0.3">
      <c r="A342" t="str">
        <f t="shared" si="129"/>
        <v>TX-00342</v>
      </c>
      <c r="B342" s="6">
        <v>45417</v>
      </c>
      <c r="C342" t="str">
        <f t="shared" ca="1" si="111"/>
        <v>House &amp; Lot</v>
      </c>
      <c r="D342" s="1" t="str">
        <f t="shared" ca="1" si="112"/>
        <v>Cavite</v>
      </c>
      <c r="E342" s="1">
        <f t="shared" ref="E342:F361" ca="1" si="131">RANDBETWEEN(1,4)</f>
        <v>2</v>
      </c>
      <c r="F342" s="1">
        <f t="shared" ca="1" si="131"/>
        <v>3</v>
      </c>
      <c r="G342">
        <f t="shared" ca="1" si="114"/>
        <v>121</v>
      </c>
      <c r="H342">
        <f t="shared" ca="1" si="115"/>
        <v>52</v>
      </c>
      <c r="I342">
        <f t="shared" ca="1" si="116"/>
        <v>2023</v>
      </c>
      <c r="J342" s="2">
        <f t="shared" ca="1" si="117"/>
        <v>3229840</v>
      </c>
      <c r="K342" s="4">
        <f t="shared" ca="1" si="118"/>
        <v>12765772</v>
      </c>
      <c r="L342" t="str">
        <f t="shared" ca="1" si="119"/>
        <v>Anna Mendoza</v>
      </c>
      <c r="M342" t="str">
        <f t="shared" ca="1" si="120"/>
        <v>Individual</v>
      </c>
      <c r="N342" t="str">
        <f t="shared" ca="1" si="121"/>
        <v>Pag-IBIG Loan</v>
      </c>
      <c r="O342" s="1">
        <f t="shared" ca="1" si="122"/>
        <v>130</v>
      </c>
      <c r="P342" s="2">
        <f t="shared" ca="1" si="123"/>
        <v>382973.16</v>
      </c>
      <c r="Q342" s="2">
        <f t="shared" ca="1" si="124"/>
        <v>9535932</v>
      </c>
      <c r="R342" s="3">
        <f t="shared" ca="1" si="125"/>
        <v>245495.61538461538</v>
      </c>
      <c r="S342">
        <f t="shared" ca="1" si="126"/>
        <v>52</v>
      </c>
      <c r="T342" s="2">
        <f t="shared" ca="1" si="127"/>
        <v>3229837.0475528198</v>
      </c>
      <c r="U342" s="17">
        <f t="shared" si="130"/>
        <v>2024</v>
      </c>
      <c r="V342" s="20" t="str">
        <f t="shared" si="128"/>
        <v>May-2024</v>
      </c>
    </row>
    <row r="343" spans="1:22" x14ac:dyDescent="0.3">
      <c r="A343" t="str">
        <f t="shared" si="129"/>
        <v>TX-00343</v>
      </c>
      <c r="B343" s="6">
        <v>44587</v>
      </c>
      <c r="C343" t="str">
        <f t="shared" ca="1" si="111"/>
        <v>Condo</v>
      </c>
      <c r="D343" s="1" t="str">
        <f t="shared" ca="1" si="112"/>
        <v>Cavite</v>
      </c>
      <c r="E343" s="1">
        <f t="shared" ca="1" si="131"/>
        <v>3</v>
      </c>
      <c r="F343" s="1">
        <f t="shared" ca="1" si="131"/>
        <v>2</v>
      </c>
      <c r="G343">
        <f t="shared" ca="1" si="114"/>
        <v>98</v>
      </c>
      <c r="H343">
        <f t="shared" ca="1" si="115"/>
        <v>146</v>
      </c>
      <c r="I343">
        <f t="shared" ca="1" si="116"/>
        <v>2022</v>
      </c>
      <c r="J343" s="2">
        <f t="shared" ca="1" si="117"/>
        <v>9165431</v>
      </c>
      <c r="K343" s="4">
        <f t="shared" ca="1" si="118"/>
        <v>6283746</v>
      </c>
      <c r="L343" t="str">
        <f t="shared" ca="1" si="119"/>
        <v>Rachel Villanueva</v>
      </c>
      <c r="M343" t="str">
        <f t="shared" ca="1" si="120"/>
        <v>Individual</v>
      </c>
      <c r="N343" t="str">
        <f t="shared" ca="1" si="121"/>
        <v>Pag-IBIG Loan</v>
      </c>
      <c r="O343" s="1">
        <f t="shared" ca="1" si="122"/>
        <v>352</v>
      </c>
      <c r="P343" s="2">
        <f t="shared" ca="1" si="123"/>
        <v>188512.38</v>
      </c>
      <c r="Q343" s="2">
        <f t="shared" ca="1" si="124"/>
        <v>-2881685</v>
      </c>
      <c r="R343" s="3">
        <f t="shared" ca="1" si="125"/>
        <v>64119.857142857145</v>
      </c>
      <c r="S343">
        <f t="shared" ca="1" si="126"/>
        <v>98</v>
      </c>
      <c r="T343" s="2">
        <f t="shared" ca="1" si="127"/>
        <v>9165431.3144080192</v>
      </c>
      <c r="U343" s="17">
        <f t="shared" si="130"/>
        <v>2022</v>
      </c>
      <c r="V343" s="20" t="str">
        <f t="shared" si="128"/>
        <v>Jan-2022</v>
      </c>
    </row>
    <row r="344" spans="1:22" x14ac:dyDescent="0.3">
      <c r="A344" t="str">
        <f t="shared" si="129"/>
        <v>TX-00344</v>
      </c>
      <c r="B344" s="6">
        <v>45801</v>
      </c>
      <c r="C344" t="str">
        <f t="shared" ca="1" si="111"/>
        <v>Commercial</v>
      </c>
      <c r="D344" s="1" t="str">
        <f t="shared" ca="1" si="112"/>
        <v>Bulacan</v>
      </c>
      <c r="E344" s="1">
        <f t="shared" ca="1" si="131"/>
        <v>2</v>
      </c>
      <c r="F344" s="1">
        <f t="shared" ca="1" si="131"/>
        <v>3</v>
      </c>
      <c r="G344">
        <f t="shared" ca="1" si="114"/>
        <v>197</v>
      </c>
      <c r="H344">
        <f t="shared" ca="1" si="115"/>
        <v>178</v>
      </c>
      <c r="I344">
        <f t="shared" ca="1" si="116"/>
        <v>2020</v>
      </c>
      <c r="J344" s="2">
        <f t="shared" ca="1" si="117"/>
        <v>5751072</v>
      </c>
      <c r="K344" s="4">
        <f t="shared" ca="1" si="118"/>
        <v>5950447</v>
      </c>
      <c r="L344" t="str">
        <f t="shared" ca="1" si="119"/>
        <v>Mary Garcia</v>
      </c>
      <c r="M344" t="str">
        <f t="shared" ca="1" si="120"/>
        <v>Investor</v>
      </c>
      <c r="N344" t="str">
        <f t="shared" ca="1" si="121"/>
        <v>Pag-IBIG Loan</v>
      </c>
      <c r="O344" s="1">
        <f t="shared" ca="1" si="122"/>
        <v>335</v>
      </c>
      <c r="P344" s="2">
        <f t="shared" ca="1" si="123"/>
        <v>178513.41</v>
      </c>
      <c r="Q344" s="2">
        <f t="shared" ca="1" si="124"/>
        <v>199375</v>
      </c>
      <c r="R344" s="3">
        <f t="shared" ca="1" si="125"/>
        <v>33429.47752808989</v>
      </c>
      <c r="S344">
        <f t="shared" ca="1" si="126"/>
        <v>178</v>
      </c>
      <c r="T344" s="2">
        <f t="shared" ca="1" si="127"/>
        <v>5751071.96533255</v>
      </c>
      <c r="U344" s="17">
        <f t="shared" si="130"/>
        <v>2025</v>
      </c>
      <c r="V344" s="20" t="str">
        <f t="shared" si="128"/>
        <v>May-2025</v>
      </c>
    </row>
    <row r="345" spans="1:22" x14ac:dyDescent="0.3">
      <c r="A345" t="str">
        <f t="shared" si="129"/>
        <v>TX-00345</v>
      </c>
      <c r="B345" s="6">
        <v>44792</v>
      </c>
      <c r="C345" t="str">
        <f t="shared" ca="1" si="111"/>
        <v>House &amp; Lot</v>
      </c>
      <c r="D345" s="1" t="str">
        <f t="shared" ca="1" si="112"/>
        <v>Cavite</v>
      </c>
      <c r="E345" s="1">
        <f t="shared" ca="1" si="131"/>
        <v>3</v>
      </c>
      <c r="F345" s="1">
        <f t="shared" ca="1" si="131"/>
        <v>3</v>
      </c>
      <c r="G345">
        <f t="shared" ca="1" si="114"/>
        <v>92</v>
      </c>
      <c r="H345">
        <f t="shared" ca="1" si="115"/>
        <v>106</v>
      </c>
      <c r="I345">
        <f t="shared" ca="1" si="116"/>
        <v>2017</v>
      </c>
      <c r="J345" s="2">
        <f t="shared" ca="1" si="117"/>
        <v>4126050</v>
      </c>
      <c r="K345" s="4">
        <f t="shared" ca="1" si="118"/>
        <v>5002668</v>
      </c>
      <c r="L345" t="str">
        <f t="shared" ca="1" si="119"/>
        <v>Michael Santos</v>
      </c>
      <c r="M345" t="str">
        <f t="shared" ca="1" si="120"/>
        <v>Investor</v>
      </c>
      <c r="N345" t="str">
        <f t="shared" ca="1" si="121"/>
        <v>Bank Loan</v>
      </c>
      <c r="O345" s="1">
        <f t="shared" ca="1" si="122"/>
        <v>142</v>
      </c>
      <c r="P345" s="2">
        <f t="shared" ca="1" si="123"/>
        <v>150080.04</v>
      </c>
      <c r="Q345" s="2">
        <f t="shared" ca="1" si="124"/>
        <v>876618</v>
      </c>
      <c r="R345" s="3">
        <f t="shared" ca="1" si="125"/>
        <v>47194.981132075474</v>
      </c>
      <c r="S345">
        <f t="shared" ca="1" si="126"/>
        <v>106</v>
      </c>
      <c r="T345" s="2">
        <f t="shared" ca="1" si="127"/>
        <v>4126049.7875406262</v>
      </c>
      <c r="U345" s="17">
        <f t="shared" si="130"/>
        <v>2022</v>
      </c>
      <c r="V345" s="20" t="str">
        <f t="shared" si="128"/>
        <v>Aug-2022</v>
      </c>
    </row>
    <row r="346" spans="1:22" x14ac:dyDescent="0.3">
      <c r="A346" t="str">
        <f t="shared" si="129"/>
        <v>TX-00346</v>
      </c>
      <c r="B346" s="6">
        <v>45393</v>
      </c>
      <c r="C346" t="str">
        <f t="shared" ca="1" si="111"/>
        <v>House &amp; Lot</v>
      </c>
      <c r="D346" s="1" t="str">
        <f t="shared" ca="1" si="112"/>
        <v>Makati</v>
      </c>
      <c r="E346" s="1">
        <f t="shared" ca="1" si="131"/>
        <v>2</v>
      </c>
      <c r="F346" s="1">
        <f t="shared" ca="1" si="131"/>
        <v>1</v>
      </c>
      <c r="G346">
        <f t="shared" ca="1" si="114"/>
        <v>78</v>
      </c>
      <c r="H346">
        <f t="shared" ca="1" si="115"/>
        <v>229</v>
      </c>
      <c r="I346">
        <f t="shared" ca="1" si="116"/>
        <v>2013</v>
      </c>
      <c r="J346" s="2">
        <f t="shared" ca="1" si="117"/>
        <v>2488178</v>
      </c>
      <c r="K346" s="4">
        <f t="shared" ca="1" si="118"/>
        <v>9221771</v>
      </c>
      <c r="L346" t="str">
        <f t="shared" ca="1" si="119"/>
        <v>John Dela Cruz</v>
      </c>
      <c r="M346" t="str">
        <f t="shared" ca="1" si="120"/>
        <v>Individual</v>
      </c>
      <c r="N346" t="str">
        <f t="shared" ca="1" si="121"/>
        <v>Installment</v>
      </c>
      <c r="O346" s="1">
        <f t="shared" ca="1" si="122"/>
        <v>157</v>
      </c>
      <c r="P346" s="2">
        <f t="shared" ca="1" si="123"/>
        <v>276653.13</v>
      </c>
      <c r="Q346" s="2">
        <f t="shared" ca="1" si="124"/>
        <v>6733593</v>
      </c>
      <c r="R346" s="3">
        <f t="shared" ca="1" si="125"/>
        <v>40269.742358078605</v>
      </c>
      <c r="S346">
        <f t="shared" ca="1" si="126"/>
        <v>229</v>
      </c>
      <c r="T346" s="2">
        <f t="shared" ca="1" si="127"/>
        <v>2488175.2937655584</v>
      </c>
      <c r="U346" s="17">
        <f t="shared" si="130"/>
        <v>2024</v>
      </c>
      <c r="V346" s="20" t="str">
        <f t="shared" si="128"/>
        <v>Apr-2024</v>
      </c>
    </row>
    <row r="347" spans="1:22" x14ac:dyDescent="0.3">
      <c r="A347" t="str">
        <f t="shared" si="129"/>
        <v>TX-00347</v>
      </c>
      <c r="B347" s="6">
        <v>43549</v>
      </c>
      <c r="C347" t="str">
        <f t="shared" ca="1" si="111"/>
        <v>Condo</v>
      </c>
      <c r="D347" s="1" t="str">
        <f t="shared" ca="1" si="112"/>
        <v>Bulacan</v>
      </c>
      <c r="E347" s="1">
        <f t="shared" ca="1" si="131"/>
        <v>1</v>
      </c>
      <c r="F347" s="1">
        <f t="shared" ca="1" si="131"/>
        <v>3</v>
      </c>
      <c r="G347">
        <f t="shared" ca="1" si="114"/>
        <v>80</v>
      </c>
      <c r="H347">
        <f t="shared" ca="1" si="115"/>
        <v>247</v>
      </c>
      <c r="I347">
        <f t="shared" ca="1" si="116"/>
        <v>2018</v>
      </c>
      <c r="J347" s="2">
        <f t="shared" ca="1" si="117"/>
        <v>12015381</v>
      </c>
      <c r="K347" s="4">
        <f t="shared" ca="1" si="118"/>
        <v>2066703</v>
      </c>
      <c r="L347" t="str">
        <f t="shared" ca="1" si="119"/>
        <v>Joy Ramos</v>
      </c>
      <c r="M347" t="str">
        <f t="shared" ca="1" si="120"/>
        <v>Corporation</v>
      </c>
      <c r="N347" t="str">
        <f t="shared" ca="1" si="121"/>
        <v>Installment</v>
      </c>
      <c r="O347" s="1">
        <f t="shared" ca="1" si="122"/>
        <v>206</v>
      </c>
      <c r="P347" s="2">
        <f t="shared" ca="1" si="123"/>
        <v>62001.09</v>
      </c>
      <c r="Q347" s="2">
        <f t="shared" ca="1" si="124"/>
        <v>-9948678</v>
      </c>
      <c r="R347" s="3">
        <f t="shared" ca="1" si="125"/>
        <v>25833.787499999999</v>
      </c>
      <c r="S347">
        <f t="shared" ca="1" si="126"/>
        <v>80</v>
      </c>
      <c r="T347" s="2">
        <f t="shared" ca="1" si="127"/>
        <v>12015381.827995216</v>
      </c>
      <c r="U347" s="17">
        <f t="shared" si="130"/>
        <v>2019</v>
      </c>
      <c r="V347" s="20" t="str">
        <f t="shared" si="128"/>
        <v>Mar-2019</v>
      </c>
    </row>
    <row r="348" spans="1:22" x14ac:dyDescent="0.3">
      <c r="A348" t="str">
        <f t="shared" si="129"/>
        <v>TX-00348</v>
      </c>
      <c r="B348" s="6">
        <v>45005</v>
      </c>
      <c r="C348" t="str">
        <f t="shared" ca="1" si="111"/>
        <v>Commercial</v>
      </c>
      <c r="D348" s="1" t="str">
        <f t="shared" ca="1" si="112"/>
        <v>Makati</v>
      </c>
      <c r="E348" s="1">
        <f t="shared" ca="1" si="131"/>
        <v>3</v>
      </c>
      <c r="F348" s="1">
        <f t="shared" ca="1" si="131"/>
        <v>3</v>
      </c>
      <c r="G348">
        <f t="shared" ca="1" si="114"/>
        <v>94</v>
      </c>
      <c r="H348">
        <f t="shared" ca="1" si="115"/>
        <v>178</v>
      </c>
      <c r="I348">
        <f t="shared" ca="1" si="116"/>
        <v>2012</v>
      </c>
      <c r="J348" s="2">
        <f t="shared" ca="1" si="117"/>
        <v>14903575</v>
      </c>
      <c r="K348" s="4">
        <f t="shared" ca="1" si="118"/>
        <v>11898894</v>
      </c>
      <c r="L348" t="str">
        <f t="shared" ca="1" si="119"/>
        <v>Michael Santos</v>
      </c>
      <c r="M348" t="str">
        <f t="shared" ca="1" si="120"/>
        <v>Investor</v>
      </c>
      <c r="N348" t="str">
        <f t="shared" ca="1" si="121"/>
        <v>Installment</v>
      </c>
      <c r="O348" s="1">
        <f t="shared" ca="1" si="122"/>
        <v>153</v>
      </c>
      <c r="P348" s="2">
        <f t="shared" ca="1" si="123"/>
        <v>356966.82</v>
      </c>
      <c r="Q348" s="2">
        <f t="shared" ca="1" si="124"/>
        <v>-3004681</v>
      </c>
      <c r="R348" s="3">
        <f t="shared" ca="1" si="125"/>
        <v>66847.719101123599</v>
      </c>
      <c r="S348">
        <f t="shared" ca="1" si="126"/>
        <v>178</v>
      </c>
      <c r="T348" s="2">
        <f t="shared" ca="1" si="127"/>
        <v>14903575.201608071</v>
      </c>
      <c r="U348" s="17">
        <f t="shared" si="130"/>
        <v>2023</v>
      </c>
      <c r="V348" s="20" t="str">
        <f t="shared" si="128"/>
        <v>Mar-2023</v>
      </c>
    </row>
    <row r="349" spans="1:22" x14ac:dyDescent="0.3">
      <c r="A349" t="str">
        <f t="shared" si="129"/>
        <v>TX-00349</v>
      </c>
      <c r="B349" s="6">
        <v>44060</v>
      </c>
      <c r="C349" t="str">
        <f t="shared" ca="1" si="111"/>
        <v>Commercial</v>
      </c>
      <c r="D349" s="1" t="str">
        <f t="shared" ca="1" si="112"/>
        <v>Cavite</v>
      </c>
      <c r="E349" s="1">
        <f t="shared" ca="1" si="131"/>
        <v>4</v>
      </c>
      <c r="F349" s="1">
        <f t="shared" ca="1" si="131"/>
        <v>3</v>
      </c>
      <c r="G349">
        <f t="shared" ca="1" si="114"/>
        <v>197</v>
      </c>
      <c r="H349">
        <f t="shared" ca="1" si="115"/>
        <v>160</v>
      </c>
      <c r="I349">
        <f t="shared" ca="1" si="116"/>
        <v>2020</v>
      </c>
      <c r="J349" s="2">
        <f t="shared" ca="1" si="117"/>
        <v>14229064</v>
      </c>
      <c r="K349" s="4">
        <f t="shared" ca="1" si="118"/>
        <v>7469629</v>
      </c>
      <c r="L349" t="str">
        <f t="shared" ca="1" si="119"/>
        <v>Michael Santos</v>
      </c>
      <c r="M349" t="str">
        <f t="shared" ca="1" si="120"/>
        <v>Investor</v>
      </c>
      <c r="N349" t="str">
        <f t="shared" ca="1" si="121"/>
        <v>Cash</v>
      </c>
      <c r="O349" s="1">
        <f t="shared" ca="1" si="122"/>
        <v>130</v>
      </c>
      <c r="P349" s="2">
        <f t="shared" ca="1" si="123"/>
        <v>224088.87</v>
      </c>
      <c r="Q349" s="2">
        <f t="shared" ca="1" si="124"/>
        <v>-6759435</v>
      </c>
      <c r="R349" s="3">
        <f t="shared" ca="1" si="125"/>
        <v>46685.181250000001</v>
      </c>
      <c r="S349">
        <f t="shared" ca="1" si="126"/>
        <v>160</v>
      </c>
      <c r="T349" s="2">
        <f t="shared" ca="1" si="127"/>
        <v>14229064.475044247</v>
      </c>
      <c r="U349" s="17">
        <f t="shared" si="130"/>
        <v>2020</v>
      </c>
      <c r="V349" s="20" t="str">
        <f t="shared" si="128"/>
        <v>Aug-2020</v>
      </c>
    </row>
    <row r="350" spans="1:22" x14ac:dyDescent="0.3">
      <c r="A350" t="str">
        <f t="shared" si="129"/>
        <v>TX-00350</v>
      </c>
      <c r="B350" s="6">
        <v>45309</v>
      </c>
      <c r="C350" t="str">
        <f t="shared" ca="1" si="111"/>
        <v>Condo</v>
      </c>
      <c r="D350" s="1" t="str">
        <f t="shared" ca="1" si="112"/>
        <v>Cavite</v>
      </c>
      <c r="E350" s="1">
        <f t="shared" ca="1" si="131"/>
        <v>3</v>
      </c>
      <c r="F350" s="1">
        <f t="shared" ca="1" si="131"/>
        <v>2</v>
      </c>
      <c r="G350">
        <f t="shared" ca="1" si="114"/>
        <v>73</v>
      </c>
      <c r="H350">
        <f t="shared" ca="1" si="115"/>
        <v>175</v>
      </c>
      <c r="I350">
        <f t="shared" ca="1" si="116"/>
        <v>2017</v>
      </c>
      <c r="J350" s="2">
        <f t="shared" ca="1" si="117"/>
        <v>11318644</v>
      </c>
      <c r="K350" s="4">
        <f t="shared" ca="1" si="118"/>
        <v>7986357</v>
      </c>
      <c r="L350" t="str">
        <f t="shared" ca="1" si="119"/>
        <v>Mary Garcia</v>
      </c>
      <c r="M350" t="str">
        <f t="shared" ca="1" si="120"/>
        <v>OFW</v>
      </c>
      <c r="N350" t="str">
        <f t="shared" ca="1" si="121"/>
        <v>Installment</v>
      </c>
      <c r="O350" s="1">
        <f t="shared" ca="1" si="122"/>
        <v>291</v>
      </c>
      <c r="P350" s="2">
        <f t="shared" ca="1" si="123"/>
        <v>239590.71</v>
      </c>
      <c r="Q350" s="2">
        <f t="shared" ca="1" si="124"/>
        <v>-3332287</v>
      </c>
      <c r="R350" s="3">
        <f t="shared" ca="1" si="125"/>
        <v>109402.1506849315</v>
      </c>
      <c r="S350">
        <f t="shared" ca="1" si="126"/>
        <v>73</v>
      </c>
      <c r="T350" s="2">
        <f t="shared" ca="1" si="127"/>
        <v>11318644.294406909</v>
      </c>
      <c r="U350" s="17">
        <f t="shared" si="130"/>
        <v>2024</v>
      </c>
      <c r="V350" s="20" t="str">
        <f t="shared" si="128"/>
        <v>Jan-2024</v>
      </c>
    </row>
    <row r="351" spans="1:22" x14ac:dyDescent="0.3">
      <c r="A351" t="str">
        <f t="shared" si="129"/>
        <v>TX-00351</v>
      </c>
      <c r="B351" s="6">
        <v>45686</v>
      </c>
      <c r="C351" t="str">
        <f t="shared" ca="1" si="111"/>
        <v>Condo</v>
      </c>
      <c r="D351" s="1" t="str">
        <f t="shared" ca="1" si="112"/>
        <v>Cavite</v>
      </c>
      <c r="E351" s="1">
        <f t="shared" ca="1" si="131"/>
        <v>4</v>
      </c>
      <c r="F351" s="1">
        <f t="shared" ca="1" si="131"/>
        <v>2</v>
      </c>
      <c r="G351">
        <f t="shared" ca="1" si="114"/>
        <v>143</v>
      </c>
      <c r="H351">
        <f t="shared" ca="1" si="115"/>
        <v>132</v>
      </c>
      <c r="I351">
        <f t="shared" ca="1" si="116"/>
        <v>2017</v>
      </c>
      <c r="J351" s="2">
        <f t="shared" ca="1" si="117"/>
        <v>9188990</v>
      </c>
      <c r="K351" s="4">
        <f t="shared" ca="1" si="118"/>
        <v>10143959</v>
      </c>
      <c r="L351" t="str">
        <f t="shared" ca="1" si="119"/>
        <v>John Dela Cruz</v>
      </c>
      <c r="M351" t="str">
        <f t="shared" ca="1" si="120"/>
        <v>Individual</v>
      </c>
      <c r="N351" t="str">
        <f t="shared" ca="1" si="121"/>
        <v>Cash</v>
      </c>
      <c r="O351" s="1">
        <f t="shared" ca="1" si="122"/>
        <v>398</v>
      </c>
      <c r="P351" s="2">
        <f t="shared" ca="1" si="123"/>
        <v>304318.76999999996</v>
      </c>
      <c r="Q351" s="2">
        <f t="shared" ca="1" si="124"/>
        <v>954969</v>
      </c>
      <c r="R351" s="3">
        <f t="shared" ca="1" si="125"/>
        <v>70936.776223776222</v>
      </c>
      <c r="S351">
        <f t="shared" ca="1" si="126"/>
        <v>143</v>
      </c>
      <c r="T351" s="2">
        <f t="shared" ca="1" si="127"/>
        <v>9188989.8960746508</v>
      </c>
      <c r="U351" s="17">
        <f t="shared" si="130"/>
        <v>2025</v>
      </c>
      <c r="V351" s="20" t="str">
        <f t="shared" si="128"/>
        <v>Jan-2025</v>
      </c>
    </row>
    <row r="352" spans="1:22" x14ac:dyDescent="0.3">
      <c r="A352" t="str">
        <f t="shared" si="129"/>
        <v>TX-00352</v>
      </c>
      <c r="B352" s="6">
        <v>44124</v>
      </c>
      <c r="C352" t="str">
        <f t="shared" ca="1" si="111"/>
        <v>Land</v>
      </c>
      <c r="D352" s="1" t="str">
        <f t="shared" ca="1" si="112"/>
        <v>Cavite</v>
      </c>
      <c r="E352" s="1">
        <f t="shared" ca="1" si="131"/>
        <v>1</v>
      </c>
      <c r="F352" s="1">
        <f t="shared" ca="1" si="131"/>
        <v>2</v>
      </c>
      <c r="G352">
        <f t="shared" ca="1" si="114"/>
        <v>101</v>
      </c>
      <c r="H352">
        <f t="shared" ca="1" si="115"/>
        <v>217</v>
      </c>
      <c r="I352">
        <f t="shared" ca="1" si="116"/>
        <v>2017</v>
      </c>
      <c r="J352" s="2">
        <f t="shared" ca="1" si="117"/>
        <v>11816551</v>
      </c>
      <c r="K352" s="4">
        <f t="shared" ca="1" si="118"/>
        <v>6955376</v>
      </c>
      <c r="L352" t="str">
        <f t="shared" ca="1" si="119"/>
        <v>John Dela Cruz</v>
      </c>
      <c r="M352" t="str">
        <f t="shared" ca="1" si="120"/>
        <v>OFW</v>
      </c>
      <c r="N352" t="str">
        <f t="shared" ca="1" si="121"/>
        <v>Installment</v>
      </c>
      <c r="O352" s="1">
        <f t="shared" ca="1" si="122"/>
        <v>375</v>
      </c>
      <c r="P352" s="2">
        <f t="shared" ca="1" si="123"/>
        <v>208661.28</v>
      </c>
      <c r="Q352" s="2">
        <f t="shared" ca="1" si="124"/>
        <v>-4861175</v>
      </c>
      <c r="R352" s="3">
        <f t="shared" ca="1" si="125"/>
        <v>32052.423963133642</v>
      </c>
      <c r="S352">
        <f t="shared" ca="1" si="126"/>
        <v>217</v>
      </c>
      <c r="T352" s="2">
        <f t="shared" ca="1" si="127"/>
        <v>11816551.411386961</v>
      </c>
      <c r="U352" s="17">
        <f t="shared" si="130"/>
        <v>2020</v>
      </c>
      <c r="V352" s="20" t="str">
        <f t="shared" si="128"/>
        <v>Oct-2020</v>
      </c>
    </row>
    <row r="353" spans="1:22" x14ac:dyDescent="0.3">
      <c r="A353" t="str">
        <f t="shared" si="129"/>
        <v>TX-00353</v>
      </c>
      <c r="B353" s="6">
        <v>44525</v>
      </c>
      <c r="C353" t="str">
        <f t="shared" ca="1" si="111"/>
        <v>Land</v>
      </c>
      <c r="D353" s="1" t="str">
        <f t="shared" ca="1" si="112"/>
        <v>Bulacan</v>
      </c>
      <c r="E353" s="1">
        <f t="shared" ca="1" si="131"/>
        <v>3</v>
      </c>
      <c r="F353" s="1">
        <f t="shared" ca="1" si="131"/>
        <v>3</v>
      </c>
      <c r="G353">
        <f t="shared" ca="1" si="114"/>
        <v>160</v>
      </c>
      <c r="H353">
        <f t="shared" ca="1" si="115"/>
        <v>183</v>
      </c>
      <c r="I353">
        <f t="shared" ca="1" si="116"/>
        <v>2011</v>
      </c>
      <c r="J353" s="2">
        <f t="shared" ca="1" si="117"/>
        <v>8492953</v>
      </c>
      <c r="K353" s="4">
        <f t="shared" ca="1" si="118"/>
        <v>4193650</v>
      </c>
      <c r="L353" t="str">
        <f t="shared" ca="1" si="119"/>
        <v>Mary Garcia</v>
      </c>
      <c r="M353" t="str">
        <f t="shared" ca="1" si="120"/>
        <v>OFW</v>
      </c>
      <c r="N353" t="str">
        <f t="shared" ca="1" si="121"/>
        <v>Pag-IBIG Loan</v>
      </c>
      <c r="O353" s="1">
        <f t="shared" ca="1" si="122"/>
        <v>314</v>
      </c>
      <c r="P353" s="2">
        <f t="shared" ca="1" si="123"/>
        <v>125809.5</v>
      </c>
      <c r="Q353" s="2">
        <f t="shared" ca="1" si="124"/>
        <v>-4299303</v>
      </c>
      <c r="R353" s="3">
        <f t="shared" ca="1" si="125"/>
        <v>22916.120218579235</v>
      </c>
      <c r="S353">
        <f t="shared" ca="1" si="126"/>
        <v>183</v>
      </c>
      <c r="T353" s="2">
        <f t="shared" ca="1" si="127"/>
        <v>8492953.506220039</v>
      </c>
      <c r="U353" s="17">
        <f t="shared" si="130"/>
        <v>2021</v>
      </c>
      <c r="V353" s="20" t="str">
        <f t="shared" si="128"/>
        <v>Nov-2021</v>
      </c>
    </row>
    <row r="354" spans="1:22" x14ac:dyDescent="0.3">
      <c r="A354" t="str">
        <f t="shared" si="129"/>
        <v>TX-00354</v>
      </c>
      <c r="B354" s="6">
        <v>45480</v>
      </c>
      <c r="C354" t="str">
        <f t="shared" ca="1" si="111"/>
        <v>Condo</v>
      </c>
      <c r="D354" s="1" t="str">
        <f t="shared" ca="1" si="112"/>
        <v>Bulacan</v>
      </c>
      <c r="E354" s="1">
        <f t="shared" ca="1" si="131"/>
        <v>1</v>
      </c>
      <c r="F354" s="1">
        <f t="shared" ca="1" si="131"/>
        <v>4</v>
      </c>
      <c r="G354">
        <f t="shared" ca="1" si="114"/>
        <v>42</v>
      </c>
      <c r="H354">
        <f t="shared" ca="1" si="115"/>
        <v>61</v>
      </c>
      <c r="I354">
        <f t="shared" ca="1" si="116"/>
        <v>2011</v>
      </c>
      <c r="J354" s="2">
        <f t="shared" ca="1" si="117"/>
        <v>2824613</v>
      </c>
      <c r="K354" s="4">
        <f t="shared" ca="1" si="118"/>
        <v>2718017</v>
      </c>
      <c r="L354" t="str">
        <f t="shared" ca="1" si="119"/>
        <v>Joy Ramos</v>
      </c>
      <c r="M354" t="str">
        <f t="shared" ca="1" si="120"/>
        <v>Investor</v>
      </c>
      <c r="N354" t="str">
        <f t="shared" ca="1" si="121"/>
        <v>Installment</v>
      </c>
      <c r="O354" s="1">
        <f t="shared" ca="1" si="122"/>
        <v>246</v>
      </c>
      <c r="P354" s="2">
        <f t="shared" ca="1" si="123"/>
        <v>81540.509999999995</v>
      </c>
      <c r="Q354" s="2">
        <f t="shared" ca="1" si="124"/>
        <v>-106596</v>
      </c>
      <c r="R354" s="3">
        <f t="shared" ca="1" si="125"/>
        <v>64714.690476190473</v>
      </c>
      <c r="S354">
        <f t="shared" ca="1" si="126"/>
        <v>42</v>
      </c>
      <c r="T354" s="2">
        <f t="shared" ca="1" si="127"/>
        <v>2824613.0377382673</v>
      </c>
      <c r="U354" s="17">
        <f t="shared" si="130"/>
        <v>2024</v>
      </c>
      <c r="V354" s="20" t="str">
        <f t="shared" si="128"/>
        <v>Jul-2024</v>
      </c>
    </row>
    <row r="355" spans="1:22" x14ac:dyDescent="0.3">
      <c r="A355" t="str">
        <f t="shared" si="129"/>
        <v>TX-00355</v>
      </c>
      <c r="B355" s="6">
        <v>45860</v>
      </c>
      <c r="C355" t="str">
        <f t="shared" ca="1" si="111"/>
        <v>Condo</v>
      </c>
      <c r="D355" s="1" t="str">
        <f t="shared" ca="1" si="112"/>
        <v>Bulacan</v>
      </c>
      <c r="E355" s="1">
        <f t="shared" ca="1" si="131"/>
        <v>1</v>
      </c>
      <c r="F355" s="1">
        <f t="shared" ca="1" si="131"/>
        <v>2</v>
      </c>
      <c r="G355">
        <f t="shared" ca="1" si="114"/>
        <v>136</v>
      </c>
      <c r="H355">
        <f t="shared" ca="1" si="115"/>
        <v>144</v>
      </c>
      <c r="I355">
        <f t="shared" ca="1" si="116"/>
        <v>2010</v>
      </c>
      <c r="J355" s="2">
        <f t="shared" ca="1" si="117"/>
        <v>9477981</v>
      </c>
      <c r="K355" s="4">
        <f t="shared" ca="1" si="118"/>
        <v>10321989</v>
      </c>
      <c r="L355" t="str">
        <f t="shared" ca="1" si="119"/>
        <v>Mary Garcia</v>
      </c>
      <c r="M355" t="str">
        <f t="shared" ca="1" si="120"/>
        <v>Investor</v>
      </c>
      <c r="N355" t="str">
        <f t="shared" ca="1" si="121"/>
        <v>Bank Loan</v>
      </c>
      <c r="O355" s="1">
        <f t="shared" ca="1" si="122"/>
        <v>131</v>
      </c>
      <c r="P355" s="2">
        <f t="shared" ca="1" si="123"/>
        <v>309659.67</v>
      </c>
      <c r="Q355" s="2">
        <f t="shared" ca="1" si="124"/>
        <v>844008</v>
      </c>
      <c r="R355" s="3">
        <f t="shared" ca="1" si="125"/>
        <v>75896.977941176476</v>
      </c>
      <c r="S355">
        <f t="shared" ca="1" si="126"/>
        <v>136</v>
      </c>
      <c r="T355" s="2">
        <f t="shared" ca="1" si="127"/>
        <v>9477980.9109506551</v>
      </c>
      <c r="U355" s="17">
        <f t="shared" si="130"/>
        <v>2025</v>
      </c>
      <c r="V355" s="20" t="str">
        <f t="shared" si="128"/>
        <v>Jul-2025</v>
      </c>
    </row>
    <row r="356" spans="1:22" x14ac:dyDescent="0.3">
      <c r="A356" t="str">
        <f t="shared" si="129"/>
        <v>TX-00356</v>
      </c>
      <c r="B356" s="6">
        <v>43366</v>
      </c>
      <c r="C356" t="str">
        <f t="shared" ca="1" si="111"/>
        <v>Condo</v>
      </c>
      <c r="D356" s="1" t="str">
        <f t="shared" ca="1" si="112"/>
        <v>Cavite</v>
      </c>
      <c r="E356" s="1">
        <f t="shared" ca="1" si="131"/>
        <v>3</v>
      </c>
      <c r="F356" s="1">
        <f t="shared" ca="1" si="131"/>
        <v>1</v>
      </c>
      <c r="G356">
        <f t="shared" ca="1" si="114"/>
        <v>161</v>
      </c>
      <c r="H356">
        <f t="shared" ca="1" si="115"/>
        <v>244</v>
      </c>
      <c r="I356">
        <f t="shared" ca="1" si="116"/>
        <v>2010</v>
      </c>
      <c r="J356" s="2">
        <f t="shared" ca="1" si="117"/>
        <v>12901066</v>
      </c>
      <c r="K356" s="4">
        <f t="shared" ca="1" si="118"/>
        <v>4184126</v>
      </c>
      <c r="L356" t="str">
        <f t="shared" ca="1" si="119"/>
        <v>Rachel Villanueva</v>
      </c>
      <c r="M356" t="str">
        <f t="shared" ca="1" si="120"/>
        <v>Individual</v>
      </c>
      <c r="N356" t="str">
        <f t="shared" ca="1" si="121"/>
        <v>Bank Loan</v>
      </c>
      <c r="O356" s="1">
        <f t="shared" ca="1" si="122"/>
        <v>349</v>
      </c>
      <c r="P356" s="2">
        <f t="shared" ca="1" si="123"/>
        <v>125523.78</v>
      </c>
      <c r="Q356" s="2">
        <f t="shared" ca="1" si="124"/>
        <v>-8716940</v>
      </c>
      <c r="R356" s="3">
        <f t="shared" ca="1" si="125"/>
        <v>25988.360248447207</v>
      </c>
      <c r="S356">
        <f t="shared" ca="1" si="126"/>
        <v>161</v>
      </c>
      <c r="T356" s="2">
        <f t="shared" ca="1" si="127"/>
        <v>12901066.675675947</v>
      </c>
      <c r="U356" s="17">
        <f t="shared" si="130"/>
        <v>2018</v>
      </c>
      <c r="V356" s="20" t="str">
        <f t="shared" si="128"/>
        <v>Sep-2018</v>
      </c>
    </row>
    <row r="357" spans="1:22" x14ac:dyDescent="0.3">
      <c r="A357" t="str">
        <f t="shared" si="129"/>
        <v>TX-00357</v>
      </c>
      <c r="B357" s="6">
        <v>46047</v>
      </c>
      <c r="C357" t="str">
        <f t="shared" ca="1" si="111"/>
        <v>Land</v>
      </c>
      <c r="D357" s="1" t="str">
        <f t="shared" ca="1" si="112"/>
        <v>Laguna</v>
      </c>
      <c r="E357" s="1">
        <f t="shared" ca="1" si="131"/>
        <v>3</v>
      </c>
      <c r="F357" s="1">
        <f t="shared" ca="1" si="131"/>
        <v>4</v>
      </c>
      <c r="G357">
        <f t="shared" ca="1" si="114"/>
        <v>60</v>
      </c>
      <c r="H357">
        <f t="shared" ca="1" si="115"/>
        <v>238</v>
      </c>
      <c r="I357">
        <f t="shared" ca="1" si="116"/>
        <v>2017</v>
      </c>
      <c r="J357" s="2">
        <f t="shared" ca="1" si="117"/>
        <v>4747277</v>
      </c>
      <c r="K357" s="4">
        <f t="shared" ca="1" si="118"/>
        <v>2656057</v>
      </c>
      <c r="L357" t="str">
        <f t="shared" ca="1" si="119"/>
        <v>Daniel Cruz</v>
      </c>
      <c r="M357" t="str">
        <f t="shared" ca="1" si="120"/>
        <v>Individual</v>
      </c>
      <c r="N357" t="str">
        <f t="shared" ca="1" si="121"/>
        <v>Pag-IBIG Loan</v>
      </c>
      <c r="O357" s="1">
        <f t="shared" ca="1" si="122"/>
        <v>343</v>
      </c>
      <c r="P357" s="2">
        <f t="shared" ca="1" si="123"/>
        <v>79681.709999999992</v>
      </c>
      <c r="Q357" s="2">
        <f t="shared" ca="1" si="124"/>
        <v>-2091220</v>
      </c>
      <c r="R357" s="3">
        <f t="shared" ca="1" si="125"/>
        <v>11159.903361344537</v>
      </c>
      <c r="S357">
        <f t="shared" ca="1" si="126"/>
        <v>238</v>
      </c>
      <c r="T357" s="2">
        <f t="shared" ca="1" si="127"/>
        <v>4747277.4405093696</v>
      </c>
      <c r="U357" s="17">
        <f t="shared" si="130"/>
        <v>2026</v>
      </c>
      <c r="V357" s="20" t="str">
        <f t="shared" si="128"/>
        <v>Jan-2026</v>
      </c>
    </row>
    <row r="358" spans="1:22" x14ac:dyDescent="0.3">
      <c r="A358" t="str">
        <f t="shared" si="129"/>
        <v>TX-00358</v>
      </c>
      <c r="B358" s="6">
        <v>44897</v>
      </c>
      <c r="C358" t="str">
        <f t="shared" ca="1" si="111"/>
        <v>House &amp; Lot</v>
      </c>
      <c r="D358" s="1" t="str">
        <f t="shared" ca="1" si="112"/>
        <v>Bulacan</v>
      </c>
      <c r="E358" s="1">
        <f t="shared" ca="1" si="131"/>
        <v>4</v>
      </c>
      <c r="F358" s="1">
        <f t="shared" ca="1" si="131"/>
        <v>1</v>
      </c>
      <c r="G358">
        <f t="shared" ca="1" si="114"/>
        <v>119</v>
      </c>
      <c r="H358">
        <f t="shared" ca="1" si="115"/>
        <v>92</v>
      </c>
      <c r="I358">
        <f t="shared" ca="1" si="116"/>
        <v>2019</v>
      </c>
      <c r="J358" s="2">
        <f t="shared" ca="1" si="117"/>
        <v>13292665</v>
      </c>
      <c r="K358" s="4">
        <f t="shared" ca="1" si="118"/>
        <v>12194719</v>
      </c>
      <c r="L358" t="str">
        <f t="shared" ca="1" si="119"/>
        <v>Daniel Cruz</v>
      </c>
      <c r="M358" t="str">
        <f t="shared" ca="1" si="120"/>
        <v>OFW</v>
      </c>
      <c r="N358" t="str">
        <f t="shared" ca="1" si="121"/>
        <v>Cash</v>
      </c>
      <c r="O358" s="1">
        <f t="shared" ca="1" si="122"/>
        <v>386</v>
      </c>
      <c r="P358" s="2">
        <f t="shared" ca="1" si="123"/>
        <v>365841.57</v>
      </c>
      <c r="Q358" s="2">
        <f t="shared" ca="1" si="124"/>
        <v>-1097946</v>
      </c>
      <c r="R358" s="3">
        <f t="shared" ca="1" si="125"/>
        <v>132551.29347826086</v>
      </c>
      <c r="S358">
        <f t="shared" ca="1" si="126"/>
        <v>92</v>
      </c>
      <c r="T358" s="2">
        <f t="shared" ca="1" si="127"/>
        <v>13292665.082597883</v>
      </c>
      <c r="U358" s="17">
        <f t="shared" si="130"/>
        <v>2022</v>
      </c>
      <c r="V358" s="20" t="str">
        <f t="shared" si="128"/>
        <v>Dec-2022</v>
      </c>
    </row>
    <row r="359" spans="1:22" x14ac:dyDescent="0.3">
      <c r="A359" t="str">
        <f t="shared" si="129"/>
        <v>TX-00359</v>
      </c>
      <c r="B359" s="6">
        <v>45066</v>
      </c>
      <c r="C359" t="str">
        <f t="shared" ca="1" si="111"/>
        <v>Land</v>
      </c>
      <c r="D359" s="1" t="str">
        <f t="shared" ca="1" si="112"/>
        <v>Cavite</v>
      </c>
      <c r="E359" s="1">
        <f t="shared" ca="1" si="131"/>
        <v>1</v>
      </c>
      <c r="F359" s="1">
        <f t="shared" ca="1" si="131"/>
        <v>2</v>
      </c>
      <c r="G359">
        <f t="shared" ca="1" si="114"/>
        <v>196</v>
      </c>
      <c r="H359">
        <f t="shared" ca="1" si="115"/>
        <v>213</v>
      </c>
      <c r="I359">
        <f t="shared" ca="1" si="116"/>
        <v>2023</v>
      </c>
      <c r="J359" s="2">
        <f t="shared" ca="1" si="117"/>
        <v>9293487</v>
      </c>
      <c r="K359" s="4">
        <f t="shared" ca="1" si="118"/>
        <v>1934609</v>
      </c>
      <c r="L359" t="str">
        <f t="shared" ca="1" si="119"/>
        <v>John Dela Cruz</v>
      </c>
      <c r="M359" t="str">
        <f t="shared" ca="1" si="120"/>
        <v>Individual</v>
      </c>
      <c r="N359" t="str">
        <f t="shared" ca="1" si="121"/>
        <v>Pag-IBIG Loan</v>
      </c>
      <c r="O359" s="1">
        <f t="shared" ca="1" si="122"/>
        <v>189</v>
      </c>
      <c r="P359" s="2">
        <f t="shared" ca="1" si="123"/>
        <v>58038.27</v>
      </c>
      <c r="Q359" s="2">
        <f t="shared" ca="1" si="124"/>
        <v>-7358878</v>
      </c>
      <c r="R359" s="3">
        <f t="shared" ca="1" si="125"/>
        <v>9082.6713615023473</v>
      </c>
      <c r="S359">
        <f t="shared" ca="1" si="126"/>
        <v>213</v>
      </c>
      <c r="T359" s="2">
        <f t="shared" ca="1" si="127"/>
        <v>9293487.7918317411</v>
      </c>
      <c r="U359" s="17">
        <f t="shared" si="130"/>
        <v>2023</v>
      </c>
      <c r="V359" s="20" t="str">
        <f t="shared" si="128"/>
        <v>May-2023</v>
      </c>
    </row>
    <row r="360" spans="1:22" x14ac:dyDescent="0.3">
      <c r="A360" t="str">
        <f t="shared" si="129"/>
        <v>TX-00360</v>
      </c>
      <c r="B360" s="6">
        <v>43279</v>
      </c>
      <c r="C360" t="str">
        <f t="shared" ca="1" si="111"/>
        <v>Commercial</v>
      </c>
      <c r="D360" s="1" t="str">
        <f t="shared" ca="1" si="112"/>
        <v>Bulacan</v>
      </c>
      <c r="E360" s="1">
        <f t="shared" ca="1" si="131"/>
        <v>3</v>
      </c>
      <c r="F360" s="1">
        <f t="shared" ca="1" si="131"/>
        <v>2</v>
      </c>
      <c r="G360">
        <f t="shared" ca="1" si="114"/>
        <v>122</v>
      </c>
      <c r="H360">
        <f t="shared" ca="1" si="115"/>
        <v>78</v>
      </c>
      <c r="I360">
        <f t="shared" ca="1" si="116"/>
        <v>2021</v>
      </c>
      <c r="J360" s="2">
        <f t="shared" ca="1" si="117"/>
        <v>11325903</v>
      </c>
      <c r="K360" s="4">
        <f t="shared" ca="1" si="118"/>
        <v>5646767</v>
      </c>
      <c r="L360" t="str">
        <f t="shared" ca="1" si="119"/>
        <v>John Dela Cruz</v>
      </c>
      <c r="M360" t="str">
        <f t="shared" ca="1" si="120"/>
        <v>Corporation</v>
      </c>
      <c r="N360" t="str">
        <f t="shared" ca="1" si="121"/>
        <v>Installment</v>
      </c>
      <c r="O360" s="1">
        <f t="shared" ca="1" si="122"/>
        <v>293</v>
      </c>
      <c r="P360" s="2">
        <f t="shared" ca="1" si="123"/>
        <v>169403.00999999998</v>
      </c>
      <c r="Q360" s="2">
        <f t="shared" ca="1" si="124"/>
        <v>-5679136</v>
      </c>
      <c r="R360" s="3">
        <f t="shared" ca="1" si="125"/>
        <v>72394.448717948719</v>
      </c>
      <c r="S360">
        <f t="shared" ca="1" si="126"/>
        <v>78</v>
      </c>
      <c r="T360" s="2">
        <f t="shared" ca="1" si="127"/>
        <v>11325903.50142898</v>
      </c>
      <c r="U360" s="17">
        <f t="shared" si="130"/>
        <v>2018</v>
      </c>
      <c r="V360" s="20" t="str">
        <f t="shared" si="128"/>
        <v>Jun-2018</v>
      </c>
    </row>
    <row r="361" spans="1:22" x14ac:dyDescent="0.3">
      <c r="A361" t="str">
        <f t="shared" si="129"/>
        <v>TX-00361</v>
      </c>
      <c r="B361" s="6">
        <v>43734</v>
      </c>
      <c r="C361" t="str">
        <f t="shared" ca="1" si="111"/>
        <v>Condo</v>
      </c>
      <c r="D361" s="1" t="str">
        <f t="shared" ca="1" si="112"/>
        <v>Cavite</v>
      </c>
      <c r="E361" s="1">
        <f t="shared" ca="1" si="131"/>
        <v>3</v>
      </c>
      <c r="F361" s="1">
        <f t="shared" ca="1" si="131"/>
        <v>4</v>
      </c>
      <c r="G361">
        <f t="shared" ca="1" si="114"/>
        <v>194</v>
      </c>
      <c r="H361">
        <f t="shared" ca="1" si="115"/>
        <v>90</v>
      </c>
      <c r="I361">
        <f t="shared" ca="1" si="116"/>
        <v>2010</v>
      </c>
      <c r="J361" s="2">
        <f t="shared" ca="1" si="117"/>
        <v>2648585</v>
      </c>
      <c r="K361" s="4">
        <f t="shared" ca="1" si="118"/>
        <v>5374405</v>
      </c>
      <c r="L361" t="str">
        <f t="shared" ca="1" si="119"/>
        <v>Michael Santos</v>
      </c>
      <c r="M361" t="str">
        <f t="shared" ca="1" si="120"/>
        <v>Individual</v>
      </c>
      <c r="N361" t="str">
        <f t="shared" ca="1" si="121"/>
        <v>Installment</v>
      </c>
      <c r="O361" s="1">
        <f t="shared" ca="1" si="122"/>
        <v>159</v>
      </c>
      <c r="P361" s="2">
        <f t="shared" ca="1" si="123"/>
        <v>161232.15</v>
      </c>
      <c r="Q361" s="2">
        <f t="shared" ca="1" si="124"/>
        <v>2725820</v>
      </c>
      <c r="R361" s="3">
        <f t="shared" ca="1" si="125"/>
        <v>27703.118556701033</v>
      </c>
      <c r="S361">
        <f t="shared" ca="1" si="126"/>
        <v>194</v>
      </c>
      <c r="T361" s="2">
        <f t="shared" ca="1" si="127"/>
        <v>2648583.9708391461</v>
      </c>
      <c r="U361" s="17">
        <f t="shared" si="130"/>
        <v>2019</v>
      </c>
      <c r="V361" s="20" t="str">
        <f t="shared" si="128"/>
        <v>Sep-2019</v>
      </c>
    </row>
    <row r="362" spans="1:22" x14ac:dyDescent="0.3">
      <c r="A362" t="str">
        <f t="shared" si="129"/>
        <v>TX-00362</v>
      </c>
      <c r="B362" s="6">
        <v>43962</v>
      </c>
      <c r="C362" t="str">
        <f t="shared" ca="1" si="111"/>
        <v>Land</v>
      </c>
      <c r="D362" s="1" t="str">
        <f t="shared" ca="1" si="112"/>
        <v>Makati</v>
      </c>
      <c r="E362" s="1">
        <f t="shared" ref="E362:F381" ca="1" si="132">RANDBETWEEN(1,4)</f>
        <v>2</v>
      </c>
      <c r="F362" s="1">
        <f t="shared" ca="1" si="132"/>
        <v>2</v>
      </c>
      <c r="G362">
        <f t="shared" ca="1" si="114"/>
        <v>84</v>
      </c>
      <c r="H362">
        <f t="shared" ca="1" si="115"/>
        <v>152</v>
      </c>
      <c r="I362">
        <f t="shared" ca="1" si="116"/>
        <v>2012</v>
      </c>
      <c r="J362" s="2">
        <f t="shared" ca="1" si="117"/>
        <v>10766348</v>
      </c>
      <c r="K362" s="4">
        <f t="shared" ca="1" si="118"/>
        <v>5741280</v>
      </c>
      <c r="L362" t="str">
        <f t="shared" ca="1" si="119"/>
        <v>Joy Ramos</v>
      </c>
      <c r="M362" t="str">
        <f t="shared" ca="1" si="120"/>
        <v>OFW</v>
      </c>
      <c r="N362" t="str">
        <f t="shared" ca="1" si="121"/>
        <v>Cash</v>
      </c>
      <c r="O362" s="1">
        <f t="shared" ca="1" si="122"/>
        <v>183</v>
      </c>
      <c r="P362" s="2">
        <f t="shared" ca="1" si="123"/>
        <v>172238.4</v>
      </c>
      <c r="Q362" s="2">
        <f t="shared" ca="1" si="124"/>
        <v>-5025068</v>
      </c>
      <c r="R362" s="3">
        <f t="shared" ca="1" si="125"/>
        <v>37771.57894736842</v>
      </c>
      <c r="S362">
        <f t="shared" ca="1" si="126"/>
        <v>152</v>
      </c>
      <c r="T362" s="2">
        <f t="shared" ca="1" si="127"/>
        <v>10766348.466738397</v>
      </c>
      <c r="U362" s="17">
        <f t="shared" si="130"/>
        <v>2020</v>
      </c>
      <c r="V362" s="20" t="str">
        <f t="shared" si="128"/>
        <v>May-2020</v>
      </c>
    </row>
    <row r="363" spans="1:22" x14ac:dyDescent="0.3">
      <c r="A363" t="str">
        <f t="shared" si="129"/>
        <v>TX-00363</v>
      </c>
      <c r="B363" s="6">
        <v>43173</v>
      </c>
      <c r="C363" t="str">
        <f t="shared" ca="1" si="111"/>
        <v>Land</v>
      </c>
      <c r="D363" s="1" t="str">
        <f t="shared" ca="1" si="112"/>
        <v>Bulacan</v>
      </c>
      <c r="E363" s="1">
        <f t="shared" ca="1" si="132"/>
        <v>2</v>
      </c>
      <c r="F363" s="1">
        <f t="shared" ca="1" si="132"/>
        <v>1</v>
      </c>
      <c r="G363">
        <f t="shared" ca="1" si="114"/>
        <v>53</v>
      </c>
      <c r="H363">
        <f t="shared" ca="1" si="115"/>
        <v>172</v>
      </c>
      <c r="I363">
        <f t="shared" ca="1" si="116"/>
        <v>2017</v>
      </c>
      <c r="J363" s="2">
        <f t="shared" ca="1" si="117"/>
        <v>13330056</v>
      </c>
      <c r="K363" s="4">
        <f t="shared" ca="1" si="118"/>
        <v>12321546</v>
      </c>
      <c r="L363" t="str">
        <f t="shared" ca="1" si="119"/>
        <v>John Dela Cruz</v>
      </c>
      <c r="M363" t="str">
        <f t="shared" ca="1" si="120"/>
        <v>Investor</v>
      </c>
      <c r="N363" t="str">
        <f t="shared" ca="1" si="121"/>
        <v>Pag-IBIG Loan</v>
      </c>
      <c r="O363" s="1">
        <f t="shared" ca="1" si="122"/>
        <v>241</v>
      </c>
      <c r="P363" s="2">
        <f t="shared" ca="1" si="123"/>
        <v>369646.38</v>
      </c>
      <c r="Q363" s="2">
        <f t="shared" ca="1" si="124"/>
        <v>-1008510</v>
      </c>
      <c r="R363" s="3">
        <f t="shared" ca="1" si="125"/>
        <v>71636.895348837206</v>
      </c>
      <c r="S363">
        <f t="shared" ca="1" si="126"/>
        <v>172</v>
      </c>
      <c r="T363" s="2">
        <f t="shared" ca="1" si="127"/>
        <v>13330056.075656846</v>
      </c>
      <c r="U363" s="17">
        <f t="shared" si="130"/>
        <v>2018</v>
      </c>
      <c r="V363" s="20" t="str">
        <f t="shared" si="128"/>
        <v>Mar-2018</v>
      </c>
    </row>
    <row r="364" spans="1:22" x14ac:dyDescent="0.3">
      <c r="A364" t="str">
        <f t="shared" si="129"/>
        <v>TX-00364</v>
      </c>
      <c r="B364" s="6">
        <v>44000</v>
      </c>
      <c r="C364" t="str">
        <f t="shared" ca="1" si="111"/>
        <v>House &amp; Lot</v>
      </c>
      <c r="D364" s="1" t="str">
        <f t="shared" ca="1" si="112"/>
        <v>Bulacan</v>
      </c>
      <c r="E364" s="1">
        <f t="shared" ca="1" si="132"/>
        <v>2</v>
      </c>
      <c r="F364" s="1">
        <f t="shared" ca="1" si="132"/>
        <v>1</v>
      </c>
      <c r="G364">
        <f t="shared" ca="1" si="114"/>
        <v>182</v>
      </c>
      <c r="H364">
        <f t="shared" ca="1" si="115"/>
        <v>115</v>
      </c>
      <c r="I364">
        <f t="shared" ca="1" si="116"/>
        <v>2018</v>
      </c>
      <c r="J364" s="2">
        <f t="shared" ca="1" si="117"/>
        <v>6257127</v>
      </c>
      <c r="K364" s="4">
        <f t="shared" ca="1" si="118"/>
        <v>10002030</v>
      </c>
      <c r="L364" t="str">
        <f t="shared" ca="1" si="119"/>
        <v>Mary Garcia</v>
      </c>
      <c r="M364" t="str">
        <f t="shared" ca="1" si="120"/>
        <v>OFW</v>
      </c>
      <c r="N364" t="str">
        <f t="shared" ca="1" si="121"/>
        <v>Pag-IBIG Loan</v>
      </c>
      <c r="O364" s="1">
        <f t="shared" ca="1" si="122"/>
        <v>228</v>
      </c>
      <c r="P364" s="2">
        <f t="shared" ca="1" si="123"/>
        <v>300060.89999999997</v>
      </c>
      <c r="Q364" s="2">
        <f t="shared" ca="1" si="124"/>
        <v>3744903</v>
      </c>
      <c r="R364" s="3">
        <f t="shared" ca="1" si="125"/>
        <v>86974.173913043473</v>
      </c>
      <c r="S364">
        <f t="shared" ca="1" si="126"/>
        <v>115</v>
      </c>
      <c r="T364" s="2">
        <f t="shared" ca="1" si="127"/>
        <v>6257126.4014980039</v>
      </c>
      <c r="U364" s="17">
        <f t="shared" si="130"/>
        <v>2020</v>
      </c>
      <c r="V364" s="20" t="str">
        <f t="shared" si="128"/>
        <v>Jun-2020</v>
      </c>
    </row>
    <row r="365" spans="1:22" x14ac:dyDescent="0.3">
      <c r="A365" t="str">
        <f t="shared" si="129"/>
        <v>TX-00365</v>
      </c>
      <c r="B365" s="6">
        <v>45163</v>
      </c>
      <c r="C365" t="str">
        <f t="shared" ca="1" si="111"/>
        <v>Condo</v>
      </c>
      <c r="D365" s="1" t="str">
        <f t="shared" ca="1" si="112"/>
        <v>Bulacan</v>
      </c>
      <c r="E365" s="1">
        <f t="shared" ca="1" si="132"/>
        <v>1</v>
      </c>
      <c r="F365" s="1">
        <f t="shared" ca="1" si="132"/>
        <v>3</v>
      </c>
      <c r="G365">
        <f t="shared" ca="1" si="114"/>
        <v>42</v>
      </c>
      <c r="H365">
        <f t="shared" ca="1" si="115"/>
        <v>200</v>
      </c>
      <c r="I365">
        <f t="shared" ca="1" si="116"/>
        <v>2017</v>
      </c>
      <c r="J365" s="2">
        <f t="shared" ca="1" si="117"/>
        <v>6221936</v>
      </c>
      <c r="K365" s="4">
        <f t="shared" ca="1" si="118"/>
        <v>7416583</v>
      </c>
      <c r="L365" t="str">
        <f t="shared" ca="1" si="119"/>
        <v>Anna Mendoza</v>
      </c>
      <c r="M365" t="str">
        <f t="shared" ca="1" si="120"/>
        <v>Corporation</v>
      </c>
      <c r="N365" t="str">
        <f t="shared" ca="1" si="121"/>
        <v>Cash</v>
      </c>
      <c r="O365" s="1">
        <f t="shared" ca="1" si="122"/>
        <v>318</v>
      </c>
      <c r="P365" s="2">
        <f t="shared" ca="1" si="123"/>
        <v>222497.49</v>
      </c>
      <c r="Q365" s="2">
        <f t="shared" ca="1" si="124"/>
        <v>1194647</v>
      </c>
      <c r="R365" s="3">
        <f t="shared" ca="1" si="125"/>
        <v>176585.30952380953</v>
      </c>
      <c r="S365">
        <f t="shared" ca="1" si="126"/>
        <v>42</v>
      </c>
      <c r="T365" s="2">
        <f t="shared" ca="1" si="127"/>
        <v>6221935.8079943284</v>
      </c>
      <c r="U365" s="17">
        <f t="shared" si="130"/>
        <v>2023</v>
      </c>
      <c r="V365" s="20" t="str">
        <f t="shared" si="128"/>
        <v>Aug-2023</v>
      </c>
    </row>
    <row r="366" spans="1:22" x14ac:dyDescent="0.3">
      <c r="A366" t="str">
        <f t="shared" si="129"/>
        <v>TX-00366</v>
      </c>
      <c r="B366" s="6">
        <v>44947</v>
      </c>
      <c r="C366" t="str">
        <f t="shared" ca="1" si="111"/>
        <v>Land</v>
      </c>
      <c r="D366" s="1" t="str">
        <f t="shared" ca="1" si="112"/>
        <v>Cavite</v>
      </c>
      <c r="E366" s="1">
        <f t="shared" ca="1" si="132"/>
        <v>4</v>
      </c>
      <c r="F366" s="1">
        <f t="shared" ca="1" si="132"/>
        <v>1</v>
      </c>
      <c r="G366">
        <f t="shared" ca="1" si="114"/>
        <v>102</v>
      </c>
      <c r="H366">
        <f t="shared" ca="1" si="115"/>
        <v>223</v>
      </c>
      <c r="I366">
        <f t="shared" ca="1" si="116"/>
        <v>2021</v>
      </c>
      <c r="J366" s="2">
        <f t="shared" ca="1" si="117"/>
        <v>10454217</v>
      </c>
      <c r="K366" s="4">
        <f t="shared" ca="1" si="118"/>
        <v>9619484</v>
      </c>
      <c r="L366" t="str">
        <f t="shared" ca="1" si="119"/>
        <v>Michelle Flores</v>
      </c>
      <c r="M366" t="str">
        <f t="shared" ca="1" si="120"/>
        <v>Investor</v>
      </c>
      <c r="N366" t="str">
        <f t="shared" ca="1" si="121"/>
        <v>Bank Loan</v>
      </c>
      <c r="O366" s="1">
        <f t="shared" ca="1" si="122"/>
        <v>397</v>
      </c>
      <c r="P366" s="2">
        <f t="shared" ca="1" si="123"/>
        <v>288584.51999999996</v>
      </c>
      <c r="Q366" s="2">
        <f t="shared" ca="1" si="124"/>
        <v>-834733</v>
      </c>
      <c r="R366" s="3">
        <f t="shared" ca="1" si="125"/>
        <v>43136.699551569509</v>
      </c>
      <c r="S366">
        <f t="shared" ca="1" si="126"/>
        <v>223</v>
      </c>
      <c r="T366" s="2">
        <f t="shared" ca="1" si="127"/>
        <v>10454217.079846535</v>
      </c>
      <c r="U366" s="17">
        <f t="shared" si="130"/>
        <v>2023</v>
      </c>
      <c r="V366" s="20" t="str">
        <f t="shared" si="128"/>
        <v>Jan-2023</v>
      </c>
    </row>
    <row r="367" spans="1:22" x14ac:dyDescent="0.3">
      <c r="A367" t="str">
        <f t="shared" si="129"/>
        <v>TX-00367</v>
      </c>
      <c r="B367" s="6">
        <v>43119</v>
      </c>
      <c r="C367" t="str">
        <f t="shared" ca="1" si="111"/>
        <v>Commercial</v>
      </c>
      <c r="D367" s="1" t="str">
        <f t="shared" ca="1" si="112"/>
        <v>Laguna</v>
      </c>
      <c r="E367" s="1">
        <f t="shared" ca="1" si="132"/>
        <v>4</v>
      </c>
      <c r="F367" s="1">
        <f t="shared" ca="1" si="132"/>
        <v>3</v>
      </c>
      <c r="G367">
        <f t="shared" ca="1" si="114"/>
        <v>191</v>
      </c>
      <c r="H367">
        <f t="shared" ca="1" si="115"/>
        <v>218</v>
      </c>
      <c r="I367">
        <f t="shared" ca="1" si="116"/>
        <v>2015</v>
      </c>
      <c r="J367" s="2">
        <f t="shared" ca="1" si="117"/>
        <v>8428266</v>
      </c>
      <c r="K367" s="4">
        <f t="shared" ca="1" si="118"/>
        <v>3910168</v>
      </c>
      <c r="L367" t="str">
        <f t="shared" ca="1" si="119"/>
        <v>Anna Mendoza</v>
      </c>
      <c r="M367" t="str">
        <f t="shared" ca="1" si="120"/>
        <v>OFW</v>
      </c>
      <c r="N367" t="str">
        <f t="shared" ca="1" si="121"/>
        <v>Cash</v>
      </c>
      <c r="O367" s="1">
        <f t="shared" ca="1" si="122"/>
        <v>392</v>
      </c>
      <c r="P367" s="2">
        <f t="shared" ca="1" si="123"/>
        <v>117305.04</v>
      </c>
      <c r="Q367" s="2">
        <f t="shared" ca="1" si="124"/>
        <v>-4518098</v>
      </c>
      <c r="R367" s="3">
        <f t="shared" ca="1" si="125"/>
        <v>17936.550458715596</v>
      </c>
      <c r="S367">
        <f t="shared" ca="1" si="126"/>
        <v>218</v>
      </c>
      <c r="T367" s="2">
        <f t="shared" ca="1" si="127"/>
        <v>8428266.5360649507</v>
      </c>
      <c r="U367" s="17">
        <f t="shared" si="130"/>
        <v>2018</v>
      </c>
      <c r="V367" s="20" t="str">
        <f t="shared" si="128"/>
        <v>Jan-2018</v>
      </c>
    </row>
    <row r="368" spans="1:22" x14ac:dyDescent="0.3">
      <c r="A368" t="str">
        <f t="shared" si="129"/>
        <v>TX-00368</v>
      </c>
      <c r="B368" s="6">
        <v>43769</v>
      </c>
      <c r="C368" t="str">
        <f t="shared" ca="1" si="111"/>
        <v>Condo</v>
      </c>
      <c r="D368" s="1" t="str">
        <f t="shared" ca="1" si="112"/>
        <v>Laguna</v>
      </c>
      <c r="E368" s="1">
        <f t="shared" ca="1" si="132"/>
        <v>2</v>
      </c>
      <c r="F368" s="1">
        <f t="shared" ca="1" si="132"/>
        <v>2</v>
      </c>
      <c r="G368">
        <f t="shared" ca="1" si="114"/>
        <v>88</v>
      </c>
      <c r="H368">
        <f t="shared" ca="1" si="115"/>
        <v>52</v>
      </c>
      <c r="I368">
        <f t="shared" ca="1" si="116"/>
        <v>2012</v>
      </c>
      <c r="J368" s="2">
        <f t="shared" ca="1" si="117"/>
        <v>2694632</v>
      </c>
      <c r="K368" s="4">
        <f t="shared" ca="1" si="118"/>
        <v>6559873</v>
      </c>
      <c r="L368" t="str">
        <f t="shared" ca="1" si="119"/>
        <v>Daniel Cruz</v>
      </c>
      <c r="M368" t="str">
        <f t="shared" ca="1" si="120"/>
        <v>Individual</v>
      </c>
      <c r="N368" t="str">
        <f t="shared" ca="1" si="121"/>
        <v>Bank Loan</v>
      </c>
      <c r="O368" s="1">
        <f t="shared" ca="1" si="122"/>
        <v>118</v>
      </c>
      <c r="P368" s="2">
        <f t="shared" ca="1" si="123"/>
        <v>196796.19</v>
      </c>
      <c r="Q368" s="2">
        <f t="shared" ca="1" si="124"/>
        <v>3865241</v>
      </c>
      <c r="R368" s="3">
        <f t="shared" ca="1" si="125"/>
        <v>74544.011363636368</v>
      </c>
      <c r="S368">
        <f t="shared" ca="1" si="126"/>
        <v>88</v>
      </c>
      <c r="T368" s="2">
        <f t="shared" ca="1" si="127"/>
        <v>2694630.5655774148</v>
      </c>
      <c r="U368" s="17">
        <f t="shared" si="130"/>
        <v>2019</v>
      </c>
      <c r="V368" s="20" t="str">
        <f t="shared" si="128"/>
        <v>Oct-2019</v>
      </c>
    </row>
    <row r="369" spans="1:22" x14ac:dyDescent="0.3">
      <c r="A369" t="str">
        <f t="shared" si="129"/>
        <v>TX-00369</v>
      </c>
      <c r="B369" s="6">
        <v>45182</v>
      </c>
      <c r="C369" t="str">
        <f t="shared" ca="1" si="111"/>
        <v>Land</v>
      </c>
      <c r="D369" s="1" t="str">
        <f t="shared" ca="1" si="112"/>
        <v>Makati</v>
      </c>
      <c r="E369" s="1">
        <f t="shared" ca="1" si="132"/>
        <v>2</v>
      </c>
      <c r="F369" s="1">
        <f t="shared" ca="1" si="132"/>
        <v>2</v>
      </c>
      <c r="G369">
        <f t="shared" ca="1" si="114"/>
        <v>84</v>
      </c>
      <c r="H369">
        <f t="shared" ca="1" si="115"/>
        <v>179</v>
      </c>
      <c r="I369">
        <f t="shared" ca="1" si="116"/>
        <v>2014</v>
      </c>
      <c r="J369" s="2">
        <f t="shared" ca="1" si="117"/>
        <v>12114761</v>
      </c>
      <c r="K369" s="4">
        <f t="shared" ca="1" si="118"/>
        <v>5339049</v>
      </c>
      <c r="L369" t="str">
        <f t="shared" ca="1" si="119"/>
        <v>Daniel Cruz</v>
      </c>
      <c r="M369" t="str">
        <f t="shared" ca="1" si="120"/>
        <v>OFW</v>
      </c>
      <c r="N369" t="str">
        <f t="shared" ca="1" si="121"/>
        <v>Installment</v>
      </c>
      <c r="O369" s="1">
        <f t="shared" ca="1" si="122"/>
        <v>357</v>
      </c>
      <c r="P369" s="2">
        <f t="shared" ca="1" si="123"/>
        <v>160171.47</v>
      </c>
      <c r="Q369" s="2">
        <f t="shared" ca="1" si="124"/>
        <v>-6775712</v>
      </c>
      <c r="R369" s="3">
        <f t="shared" ca="1" si="125"/>
        <v>29827.089385474861</v>
      </c>
      <c r="S369">
        <f t="shared" ca="1" si="126"/>
        <v>179</v>
      </c>
      <c r="T369" s="2">
        <f t="shared" ca="1" si="127"/>
        <v>12114761.559293905</v>
      </c>
      <c r="U369" s="17">
        <f t="shared" si="130"/>
        <v>2023</v>
      </c>
      <c r="V369" s="20" t="str">
        <f t="shared" si="128"/>
        <v>Sep-2023</v>
      </c>
    </row>
    <row r="370" spans="1:22" x14ac:dyDescent="0.3">
      <c r="A370" t="str">
        <f t="shared" si="129"/>
        <v>TX-00370</v>
      </c>
      <c r="B370" s="6">
        <v>44473</v>
      </c>
      <c r="C370" t="str">
        <f t="shared" ca="1" si="111"/>
        <v>House &amp; Lot</v>
      </c>
      <c r="D370" s="1" t="str">
        <f t="shared" ca="1" si="112"/>
        <v>Cavite</v>
      </c>
      <c r="E370" s="1">
        <f t="shared" ca="1" si="132"/>
        <v>4</v>
      </c>
      <c r="F370" s="1">
        <f t="shared" ca="1" si="132"/>
        <v>4</v>
      </c>
      <c r="G370">
        <f t="shared" ca="1" si="114"/>
        <v>63</v>
      </c>
      <c r="H370">
        <f t="shared" ca="1" si="115"/>
        <v>173</v>
      </c>
      <c r="I370">
        <f t="shared" ca="1" si="116"/>
        <v>2014</v>
      </c>
      <c r="J370" s="2">
        <f t="shared" ca="1" si="117"/>
        <v>13092003</v>
      </c>
      <c r="K370" s="4">
        <f t="shared" ca="1" si="118"/>
        <v>11780596</v>
      </c>
      <c r="L370" t="str">
        <f t="shared" ca="1" si="119"/>
        <v>Rachel Villanueva</v>
      </c>
      <c r="M370" t="str">
        <f t="shared" ca="1" si="120"/>
        <v>Individual</v>
      </c>
      <c r="N370" t="str">
        <f t="shared" ca="1" si="121"/>
        <v>Cash</v>
      </c>
      <c r="O370" s="1">
        <f t="shared" ca="1" si="122"/>
        <v>166</v>
      </c>
      <c r="P370" s="2">
        <f t="shared" ca="1" si="123"/>
        <v>353417.88</v>
      </c>
      <c r="Q370" s="2">
        <f t="shared" ca="1" si="124"/>
        <v>-1311407</v>
      </c>
      <c r="R370" s="3">
        <f t="shared" ca="1" si="125"/>
        <v>68095.930635838144</v>
      </c>
      <c r="S370">
        <f t="shared" ca="1" si="126"/>
        <v>173</v>
      </c>
      <c r="T370" s="2">
        <f t="shared" ca="1" si="127"/>
        <v>13092003.100168554</v>
      </c>
      <c r="U370" s="17">
        <f t="shared" si="130"/>
        <v>2021</v>
      </c>
      <c r="V370" s="20" t="str">
        <f t="shared" si="128"/>
        <v>Oct-2021</v>
      </c>
    </row>
    <row r="371" spans="1:22" x14ac:dyDescent="0.3">
      <c r="A371" t="str">
        <f t="shared" si="129"/>
        <v>TX-00371</v>
      </c>
      <c r="B371" s="6">
        <v>43729</v>
      </c>
      <c r="C371" t="str">
        <f t="shared" ca="1" si="111"/>
        <v>Land</v>
      </c>
      <c r="D371" s="1" t="str">
        <f t="shared" ca="1" si="112"/>
        <v>Makati</v>
      </c>
      <c r="E371" s="1">
        <f t="shared" ca="1" si="132"/>
        <v>2</v>
      </c>
      <c r="F371" s="1">
        <f t="shared" ca="1" si="132"/>
        <v>1</v>
      </c>
      <c r="G371">
        <f t="shared" ca="1" si="114"/>
        <v>51</v>
      </c>
      <c r="H371">
        <f t="shared" ca="1" si="115"/>
        <v>154</v>
      </c>
      <c r="I371">
        <f t="shared" ca="1" si="116"/>
        <v>2010</v>
      </c>
      <c r="J371" s="2">
        <f t="shared" ca="1" si="117"/>
        <v>11952533</v>
      </c>
      <c r="K371" s="4">
        <f t="shared" ca="1" si="118"/>
        <v>6514040</v>
      </c>
      <c r="L371" t="str">
        <f t="shared" ca="1" si="119"/>
        <v>Michelle Flores</v>
      </c>
      <c r="M371" t="str">
        <f t="shared" ca="1" si="120"/>
        <v>Investor</v>
      </c>
      <c r="N371" t="str">
        <f t="shared" ca="1" si="121"/>
        <v>Pag-IBIG Loan</v>
      </c>
      <c r="O371" s="1">
        <f t="shared" ca="1" si="122"/>
        <v>165</v>
      </c>
      <c r="P371" s="2">
        <f t="shared" ca="1" si="123"/>
        <v>195421.19999999998</v>
      </c>
      <c r="Q371" s="2">
        <f t="shared" ca="1" si="124"/>
        <v>-5438493</v>
      </c>
      <c r="R371" s="3">
        <f t="shared" ca="1" si="125"/>
        <v>42298.961038961039</v>
      </c>
      <c r="S371">
        <f t="shared" ca="1" si="126"/>
        <v>154</v>
      </c>
      <c r="T371" s="2">
        <f t="shared" ca="1" si="127"/>
        <v>11952533.45500757</v>
      </c>
      <c r="U371" s="17">
        <f t="shared" si="130"/>
        <v>2019</v>
      </c>
      <c r="V371" s="20" t="str">
        <f t="shared" si="128"/>
        <v>Sep-2019</v>
      </c>
    </row>
    <row r="372" spans="1:22" x14ac:dyDescent="0.3">
      <c r="A372" t="str">
        <f t="shared" si="129"/>
        <v>TX-00372</v>
      </c>
      <c r="B372" s="6">
        <v>43569</v>
      </c>
      <c r="C372" t="str">
        <f t="shared" ca="1" si="111"/>
        <v>Land</v>
      </c>
      <c r="D372" s="1" t="str">
        <f t="shared" ca="1" si="112"/>
        <v>Laguna</v>
      </c>
      <c r="E372" s="1">
        <f t="shared" ca="1" si="132"/>
        <v>4</v>
      </c>
      <c r="F372" s="1">
        <f t="shared" ca="1" si="132"/>
        <v>1</v>
      </c>
      <c r="G372">
        <f t="shared" ca="1" si="114"/>
        <v>151</v>
      </c>
      <c r="H372">
        <f t="shared" ca="1" si="115"/>
        <v>232</v>
      </c>
      <c r="I372">
        <f t="shared" ca="1" si="116"/>
        <v>2014</v>
      </c>
      <c r="J372" s="2">
        <f t="shared" ca="1" si="117"/>
        <v>4249184</v>
      </c>
      <c r="K372" s="4">
        <f t="shared" ca="1" si="118"/>
        <v>5053091</v>
      </c>
      <c r="L372" t="str">
        <f t="shared" ca="1" si="119"/>
        <v>John Dela Cruz</v>
      </c>
      <c r="M372" t="str">
        <f t="shared" ca="1" si="120"/>
        <v>Corporation</v>
      </c>
      <c r="N372" t="str">
        <f t="shared" ca="1" si="121"/>
        <v>Installment</v>
      </c>
      <c r="O372" s="1">
        <f t="shared" ca="1" si="122"/>
        <v>299</v>
      </c>
      <c r="P372" s="2">
        <f t="shared" ca="1" si="123"/>
        <v>151592.72999999998</v>
      </c>
      <c r="Q372" s="2">
        <f t="shared" ca="1" si="124"/>
        <v>803907</v>
      </c>
      <c r="R372" s="3">
        <f t="shared" ca="1" si="125"/>
        <v>21780.564655172413</v>
      </c>
      <c r="S372">
        <f t="shared" ca="1" si="126"/>
        <v>232</v>
      </c>
      <c r="T372" s="2">
        <f t="shared" ca="1" si="127"/>
        <v>4249183.810809087</v>
      </c>
      <c r="U372" s="17">
        <f t="shared" si="130"/>
        <v>2019</v>
      </c>
      <c r="V372" s="20" t="str">
        <f t="shared" si="128"/>
        <v>Apr-2019</v>
      </c>
    </row>
    <row r="373" spans="1:22" x14ac:dyDescent="0.3">
      <c r="A373" t="str">
        <f t="shared" si="129"/>
        <v>TX-00373</v>
      </c>
      <c r="B373" s="6">
        <v>45519</v>
      </c>
      <c r="C373" t="str">
        <f t="shared" ca="1" si="111"/>
        <v>House &amp; Lot</v>
      </c>
      <c r="D373" s="1" t="str">
        <f t="shared" ca="1" si="112"/>
        <v>Bulacan</v>
      </c>
      <c r="E373" s="1">
        <f t="shared" ca="1" si="132"/>
        <v>1</v>
      </c>
      <c r="F373" s="1">
        <f t="shared" ca="1" si="132"/>
        <v>4</v>
      </c>
      <c r="G373">
        <f t="shared" ca="1" si="114"/>
        <v>195</v>
      </c>
      <c r="H373">
        <f t="shared" ca="1" si="115"/>
        <v>93</v>
      </c>
      <c r="I373">
        <f t="shared" ca="1" si="116"/>
        <v>2020</v>
      </c>
      <c r="J373" s="2">
        <f t="shared" ca="1" si="117"/>
        <v>2346258</v>
      </c>
      <c r="K373" s="4">
        <f t="shared" ca="1" si="118"/>
        <v>10208252</v>
      </c>
      <c r="L373" t="str">
        <f t="shared" ca="1" si="119"/>
        <v>Mark Reyes</v>
      </c>
      <c r="M373" t="str">
        <f t="shared" ca="1" si="120"/>
        <v>Investor</v>
      </c>
      <c r="N373" t="str">
        <f t="shared" ca="1" si="121"/>
        <v>Bank Loan</v>
      </c>
      <c r="O373" s="1">
        <f t="shared" ca="1" si="122"/>
        <v>228</v>
      </c>
      <c r="P373" s="2">
        <f t="shared" ca="1" si="123"/>
        <v>306247.56</v>
      </c>
      <c r="Q373" s="2">
        <f t="shared" ca="1" si="124"/>
        <v>7861994</v>
      </c>
      <c r="R373" s="3">
        <f t="shared" ca="1" si="125"/>
        <v>109766.15053763441</v>
      </c>
      <c r="S373">
        <f t="shared" ca="1" si="126"/>
        <v>93</v>
      </c>
      <c r="T373" s="2">
        <f t="shared" ca="1" si="127"/>
        <v>2346254.6491349204</v>
      </c>
      <c r="U373" s="17">
        <f t="shared" si="130"/>
        <v>2024</v>
      </c>
      <c r="V373" s="20" t="str">
        <f t="shared" si="128"/>
        <v>Aug-2024</v>
      </c>
    </row>
    <row r="374" spans="1:22" x14ac:dyDescent="0.3">
      <c r="A374" t="str">
        <f t="shared" si="129"/>
        <v>TX-00374</v>
      </c>
      <c r="B374" s="6">
        <v>44888</v>
      </c>
      <c r="C374" t="str">
        <f t="shared" ca="1" si="111"/>
        <v>Condo</v>
      </c>
      <c r="D374" s="1" t="str">
        <f t="shared" ca="1" si="112"/>
        <v>Makati</v>
      </c>
      <c r="E374" s="1">
        <f t="shared" ca="1" si="132"/>
        <v>2</v>
      </c>
      <c r="F374" s="1">
        <f t="shared" ca="1" si="132"/>
        <v>1</v>
      </c>
      <c r="G374">
        <f t="shared" ca="1" si="114"/>
        <v>58</v>
      </c>
      <c r="H374">
        <f t="shared" ca="1" si="115"/>
        <v>215</v>
      </c>
      <c r="I374">
        <f t="shared" ca="1" si="116"/>
        <v>2020</v>
      </c>
      <c r="J374" s="2">
        <f t="shared" ca="1" si="117"/>
        <v>3765668</v>
      </c>
      <c r="K374" s="4">
        <f t="shared" ca="1" si="118"/>
        <v>10881859</v>
      </c>
      <c r="L374" t="str">
        <f t="shared" ca="1" si="119"/>
        <v>Joy Ramos</v>
      </c>
      <c r="M374" t="str">
        <f t="shared" ca="1" si="120"/>
        <v>OFW</v>
      </c>
      <c r="N374" t="str">
        <f t="shared" ca="1" si="121"/>
        <v>Bank Loan</v>
      </c>
      <c r="O374" s="1">
        <f t="shared" ca="1" si="122"/>
        <v>215</v>
      </c>
      <c r="P374" s="2">
        <f t="shared" ca="1" si="123"/>
        <v>326455.76999999996</v>
      </c>
      <c r="Q374" s="2">
        <f t="shared" ca="1" si="124"/>
        <v>7116191</v>
      </c>
      <c r="R374" s="3">
        <f t="shared" ca="1" si="125"/>
        <v>187618.25862068965</v>
      </c>
      <c r="S374">
        <f t="shared" ca="1" si="126"/>
        <v>58</v>
      </c>
      <c r="T374" s="2">
        <f t="shared" ca="1" si="127"/>
        <v>3765666.1102447161</v>
      </c>
      <c r="U374" s="17">
        <f t="shared" si="130"/>
        <v>2022</v>
      </c>
      <c r="V374" s="20" t="str">
        <f t="shared" si="128"/>
        <v>Nov-2022</v>
      </c>
    </row>
    <row r="375" spans="1:22" x14ac:dyDescent="0.3">
      <c r="A375" t="str">
        <f t="shared" si="129"/>
        <v>TX-00375</v>
      </c>
      <c r="B375" s="6">
        <v>43777</v>
      </c>
      <c r="C375" t="str">
        <f t="shared" ca="1" si="111"/>
        <v>House &amp; Lot</v>
      </c>
      <c r="D375" s="1" t="str">
        <f t="shared" ca="1" si="112"/>
        <v>Bulacan</v>
      </c>
      <c r="E375" s="1">
        <f t="shared" ca="1" si="132"/>
        <v>3</v>
      </c>
      <c r="F375" s="1">
        <f t="shared" ca="1" si="132"/>
        <v>2</v>
      </c>
      <c r="G375">
        <f t="shared" ca="1" si="114"/>
        <v>161</v>
      </c>
      <c r="H375">
        <f t="shared" ca="1" si="115"/>
        <v>120</v>
      </c>
      <c r="I375">
        <f t="shared" ca="1" si="116"/>
        <v>2022</v>
      </c>
      <c r="J375" s="2">
        <f t="shared" ca="1" si="117"/>
        <v>5487661</v>
      </c>
      <c r="K375" s="4">
        <f t="shared" ca="1" si="118"/>
        <v>6187572</v>
      </c>
      <c r="L375" t="str">
        <f t="shared" ca="1" si="119"/>
        <v>John Dela Cruz</v>
      </c>
      <c r="M375" t="str">
        <f t="shared" ca="1" si="120"/>
        <v>Individual</v>
      </c>
      <c r="N375" t="str">
        <f t="shared" ca="1" si="121"/>
        <v>Bank Loan</v>
      </c>
      <c r="O375" s="1">
        <f t="shared" ca="1" si="122"/>
        <v>358</v>
      </c>
      <c r="P375" s="2">
        <f t="shared" ca="1" si="123"/>
        <v>185627.16</v>
      </c>
      <c r="Q375" s="2">
        <f t="shared" ca="1" si="124"/>
        <v>699911</v>
      </c>
      <c r="R375" s="3">
        <f t="shared" ca="1" si="125"/>
        <v>51563.1</v>
      </c>
      <c r="S375">
        <f t="shared" ca="1" si="126"/>
        <v>120</v>
      </c>
      <c r="T375" s="2">
        <f t="shared" ca="1" si="127"/>
        <v>5487660.872457318</v>
      </c>
      <c r="U375" s="17">
        <f t="shared" si="130"/>
        <v>2019</v>
      </c>
      <c r="V375" s="20" t="str">
        <f t="shared" si="128"/>
        <v>Nov-2019</v>
      </c>
    </row>
    <row r="376" spans="1:22" x14ac:dyDescent="0.3">
      <c r="A376" t="str">
        <f t="shared" si="129"/>
        <v>TX-00376</v>
      </c>
      <c r="B376" s="6">
        <v>45285</v>
      </c>
      <c r="C376" t="str">
        <f t="shared" ca="1" si="111"/>
        <v>Commercial</v>
      </c>
      <c r="D376" s="1" t="str">
        <f t="shared" ca="1" si="112"/>
        <v>Cavite</v>
      </c>
      <c r="E376" s="1">
        <f t="shared" ca="1" si="132"/>
        <v>4</v>
      </c>
      <c r="F376" s="1">
        <f t="shared" ca="1" si="132"/>
        <v>2</v>
      </c>
      <c r="G376">
        <f t="shared" ca="1" si="114"/>
        <v>70</v>
      </c>
      <c r="H376">
        <f t="shared" ca="1" si="115"/>
        <v>107</v>
      </c>
      <c r="I376">
        <f t="shared" ca="1" si="116"/>
        <v>2011</v>
      </c>
      <c r="J376" s="2">
        <f t="shared" ca="1" si="117"/>
        <v>6233614</v>
      </c>
      <c r="K376" s="4">
        <f t="shared" ca="1" si="118"/>
        <v>12250765</v>
      </c>
      <c r="L376" t="str">
        <f t="shared" ca="1" si="119"/>
        <v>Michelle Flores</v>
      </c>
      <c r="M376" t="str">
        <f t="shared" ca="1" si="120"/>
        <v>Corporation</v>
      </c>
      <c r="N376" t="str">
        <f t="shared" ca="1" si="121"/>
        <v>Pag-IBIG Loan</v>
      </c>
      <c r="O376" s="1">
        <f t="shared" ca="1" si="122"/>
        <v>154</v>
      </c>
      <c r="P376" s="2">
        <f t="shared" ca="1" si="123"/>
        <v>367522.95</v>
      </c>
      <c r="Q376" s="2">
        <f t="shared" ca="1" si="124"/>
        <v>6017151</v>
      </c>
      <c r="R376" s="3">
        <f t="shared" ca="1" si="125"/>
        <v>114493.1308411215</v>
      </c>
      <c r="S376">
        <f t="shared" ca="1" si="126"/>
        <v>107</v>
      </c>
      <c r="T376" s="2">
        <f t="shared" ca="1" si="127"/>
        <v>6233613.0347251212</v>
      </c>
      <c r="U376" s="17">
        <f t="shared" si="130"/>
        <v>2023</v>
      </c>
      <c r="V376" s="20" t="str">
        <f t="shared" si="128"/>
        <v>Dec-2023</v>
      </c>
    </row>
    <row r="377" spans="1:22" x14ac:dyDescent="0.3">
      <c r="A377" t="str">
        <f t="shared" si="129"/>
        <v>TX-00377</v>
      </c>
      <c r="B377" s="6">
        <v>44993</v>
      </c>
      <c r="C377" t="str">
        <f t="shared" ca="1" si="111"/>
        <v>Commercial</v>
      </c>
      <c r="D377" s="1" t="str">
        <f t="shared" ca="1" si="112"/>
        <v>Makati</v>
      </c>
      <c r="E377" s="1">
        <f t="shared" ca="1" si="132"/>
        <v>1</v>
      </c>
      <c r="F377" s="1">
        <f t="shared" ca="1" si="132"/>
        <v>3</v>
      </c>
      <c r="G377">
        <f t="shared" ca="1" si="114"/>
        <v>63</v>
      </c>
      <c r="H377">
        <f t="shared" ca="1" si="115"/>
        <v>95</v>
      </c>
      <c r="I377">
        <f t="shared" ca="1" si="116"/>
        <v>2020</v>
      </c>
      <c r="J377" s="2">
        <f t="shared" ca="1" si="117"/>
        <v>9956354</v>
      </c>
      <c r="K377" s="4">
        <f t="shared" ca="1" si="118"/>
        <v>1504829</v>
      </c>
      <c r="L377" t="str">
        <f t="shared" ca="1" si="119"/>
        <v>John Dela Cruz</v>
      </c>
      <c r="M377" t="str">
        <f t="shared" ca="1" si="120"/>
        <v>OFW</v>
      </c>
      <c r="N377" t="str">
        <f t="shared" ca="1" si="121"/>
        <v>Pag-IBIG Loan</v>
      </c>
      <c r="O377" s="1">
        <f t="shared" ca="1" si="122"/>
        <v>137</v>
      </c>
      <c r="P377" s="2">
        <f t="shared" ca="1" si="123"/>
        <v>45144.869999999995</v>
      </c>
      <c r="Q377" s="2">
        <f t="shared" ca="1" si="124"/>
        <v>-8451525</v>
      </c>
      <c r="R377" s="3">
        <f t="shared" ca="1" si="125"/>
        <v>15840.305263157894</v>
      </c>
      <c r="S377">
        <f t="shared" ca="1" si="126"/>
        <v>95</v>
      </c>
      <c r="T377" s="2">
        <f t="shared" ca="1" si="127"/>
        <v>9956354.8488574233</v>
      </c>
      <c r="U377" s="17">
        <f t="shared" si="130"/>
        <v>2023</v>
      </c>
      <c r="V377" s="20" t="str">
        <f t="shared" si="128"/>
        <v>Mar-2023</v>
      </c>
    </row>
    <row r="378" spans="1:22" x14ac:dyDescent="0.3">
      <c r="A378" t="str">
        <f t="shared" si="129"/>
        <v>TX-00378</v>
      </c>
      <c r="B378" s="6">
        <v>45000</v>
      </c>
      <c r="C378" t="str">
        <f t="shared" ca="1" si="111"/>
        <v>Commercial</v>
      </c>
      <c r="D378" s="1" t="str">
        <f t="shared" ca="1" si="112"/>
        <v>Makati</v>
      </c>
      <c r="E378" s="1">
        <f t="shared" ca="1" si="132"/>
        <v>4</v>
      </c>
      <c r="F378" s="1">
        <f t="shared" ca="1" si="132"/>
        <v>4</v>
      </c>
      <c r="G378">
        <f t="shared" ca="1" si="114"/>
        <v>126</v>
      </c>
      <c r="H378">
        <f t="shared" ca="1" si="115"/>
        <v>86</v>
      </c>
      <c r="I378">
        <f t="shared" ca="1" si="116"/>
        <v>2023</v>
      </c>
      <c r="J378" s="2">
        <f t="shared" ca="1" si="117"/>
        <v>6548354</v>
      </c>
      <c r="K378" s="4">
        <f t="shared" ca="1" si="118"/>
        <v>9837581</v>
      </c>
      <c r="L378" t="str">
        <f t="shared" ca="1" si="119"/>
        <v>John Dela Cruz</v>
      </c>
      <c r="M378" t="str">
        <f t="shared" ca="1" si="120"/>
        <v>Investor</v>
      </c>
      <c r="N378" t="str">
        <f t="shared" ca="1" si="121"/>
        <v>Installment</v>
      </c>
      <c r="O378" s="1">
        <f t="shared" ca="1" si="122"/>
        <v>268</v>
      </c>
      <c r="P378" s="2">
        <f t="shared" ca="1" si="123"/>
        <v>295127.43</v>
      </c>
      <c r="Q378" s="2">
        <f t="shared" ca="1" si="124"/>
        <v>3289227</v>
      </c>
      <c r="R378" s="3">
        <f t="shared" ca="1" si="125"/>
        <v>114390.47674418605</v>
      </c>
      <c r="S378">
        <f t="shared" ca="1" si="126"/>
        <v>86</v>
      </c>
      <c r="T378" s="2">
        <f t="shared" ca="1" si="127"/>
        <v>6548353.4977017129</v>
      </c>
      <c r="U378" s="17">
        <f t="shared" si="130"/>
        <v>2023</v>
      </c>
      <c r="V378" s="20" t="str">
        <f t="shared" si="128"/>
        <v>Mar-2023</v>
      </c>
    </row>
    <row r="379" spans="1:22" x14ac:dyDescent="0.3">
      <c r="A379" t="str">
        <f t="shared" si="129"/>
        <v>TX-00379</v>
      </c>
      <c r="B379" s="6">
        <v>44240</v>
      </c>
      <c r="C379" t="str">
        <f t="shared" ca="1" si="111"/>
        <v>Commercial</v>
      </c>
      <c r="D379" s="1" t="str">
        <f t="shared" ca="1" si="112"/>
        <v>Bulacan</v>
      </c>
      <c r="E379" s="1">
        <f t="shared" ca="1" si="132"/>
        <v>2</v>
      </c>
      <c r="F379" s="1">
        <f t="shared" ca="1" si="132"/>
        <v>3</v>
      </c>
      <c r="G379">
        <f t="shared" ca="1" si="114"/>
        <v>70</v>
      </c>
      <c r="H379">
        <f t="shared" ca="1" si="115"/>
        <v>202</v>
      </c>
      <c r="I379">
        <f t="shared" ca="1" si="116"/>
        <v>2018</v>
      </c>
      <c r="J379" s="2">
        <f t="shared" ca="1" si="117"/>
        <v>2817911</v>
      </c>
      <c r="K379" s="4">
        <f t="shared" ca="1" si="118"/>
        <v>9426341</v>
      </c>
      <c r="L379" t="str">
        <f t="shared" ca="1" si="119"/>
        <v>Daniel Cruz</v>
      </c>
      <c r="M379" t="str">
        <f t="shared" ca="1" si="120"/>
        <v>OFW</v>
      </c>
      <c r="N379" t="str">
        <f t="shared" ca="1" si="121"/>
        <v>Pag-IBIG Loan</v>
      </c>
      <c r="O379" s="1">
        <f t="shared" ca="1" si="122"/>
        <v>142</v>
      </c>
      <c r="P379" s="2">
        <f t="shared" ca="1" si="123"/>
        <v>282790.23</v>
      </c>
      <c r="Q379" s="2">
        <f t="shared" ca="1" si="124"/>
        <v>6608430</v>
      </c>
      <c r="R379" s="3">
        <f t="shared" ca="1" si="125"/>
        <v>46665.054455445541</v>
      </c>
      <c r="S379">
        <f t="shared" ca="1" si="126"/>
        <v>202</v>
      </c>
      <c r="T379" s="2">
        <f t="shared" ca="1" si="127"/>
        <v>2817908.6548478641</v>
      </c>
      <c r="U379" s="17">
        <f t="shared" si="130"/>
        <v>2021</v>
      </c>
      <c r="V379" s="20" t="str">
        <f t="shared" si="128"/>
        <v>Feb-2021</v>
      </c>
    </row>
    <row r="380" spans="1:22" x14ac:dyDescent="0.3">
      <c r="A380" t="str">
        <f t="shared" si="129"/>
        <v>TX-00380</v>
      </c>
      <c r="B380" s="6">
        <v>43525</v>
      </c>
      <c r="C380" t="str">
        <f t="shared" ca="1" si="111"/>
        <v>Condo</v>
      </c>
      <c r="D380" s="1" t="str">
        <f t="shared" ca="1" si="112"/>
        <v>Laguna</v>
      </c>
      <c r="E380" s="1">
        <f t="shared" ca="1" si="132"/>
        <v>3</v>
      </c>
      <c r="F380" s="1">
        <f t="shared" ca="1" si="132"/>
        <v>3</v>
      </c>
      <c r="G380">
        <f t="shared" ca="1" si="114"/>
        <v>144</v>
      </c>
      <c r="H380">
        <f t="shared" ca="1" si="115"/>
        <v>224</v>
      </c>
      <c r="I380">
        <f t="shared" ca="1" si="116"/>
        <v>2020</v>
      </c>
      <c r="J380" s="2">
        <f t="shared" ca="1" si="117"/>
        <v>3850584</v>
      </c>
      <c r="K380" s="4">
        <f t="shared" ca="1" si="118"/>
        <v>12132269</v>
      </c>
      <c r="L380" t="str">
        <f t="shared" ca="1" si="119"/>
        <v>Joy Ramos</v>
      </c>
      <c r="M380" t="str">
        <f t="shared" ca="1" si="120"/>
        <v>Corporation</v>
      </c>
      <c r="N380" t="str">
        <f t="shared" ca="1" si="121"/>
        <v>Cash</v>
      </c>
      <c r="O380" s="1">
        <f t="shared" ca="1" si="122"/>
        <v>217</v>
      </c>
      <c r="P380" s="2">
        <f t="shared" ca="1" si="123"/>
        <v>363968.07</v>
      </c>
      <c r="Q380" s="2">
        <f t="shared" ca="1" si="124"/>
        <v>8281685</v>
      </c>
      <c r="R380" s="3">
        <f t="shared" ca="1" si="125"/>
        <v>84251.868055555562</v>
      </c>
      <c r="S380">
        <f t="shared" ca="1" si="126"/>
        <v>144</v>
      </c>
      <c r="T380" s="2">
        <f t="shared" ca="1" si="127"/>
        <v>3850581.8492392325</v>
      </c>
      <c r="U380" s="17">
        <f t="shared" si="130"/>
        <v>2019</v>
      </c>
      <c r="V380" s="20" t="str">
        <f t="shared" si="128"/>
        <v>Mar-2019</v>
      </c>
    </row>
    <row r="381" spans="1:22" x14ac:dyDescent="0.3">
      <c r="A381" t="str">
        <f t="shared" si="129"/>
        <v>TX-00381</v>
      </c>
      <c r="B381" s="6">
        <v>45184</v>
      </c>
      <c r="C381" t="str">
        <f t="shared" ca="1" si="111"/>
        <v>House &amp; Lot</v>
      </c>
      <c r="D381" s="1" t="str">
        <f t="shared" ca="1" si="112"/>
        <v>Bulacan</v>
      </c>
      <c r="E381" s="1">
        <f t="shared" ca="1" si="132"/>
        <v>2</v>
      </c>
      <c r="F381" s="1">
        <f t="shared" ca="1" si="132"/>
        <v>4</v>
      </c>
      <c r="G381">
        <f t="shared" ca="1" si="114"/>
        <v>50</v>
      </c>
      <c r="H381">
        <f t="shared" ca="1" si="115"/>
        <v>61</v>
      </c>
      <c r="I381">
        <f t="shared" ca="1" si="116"/>
        <v>2022</v>
      </c>
      <c r="J381" s="2">
        <f t="shared" ca="1" si="117"/>
        <v>12356880</v>
      </c>
      <c r="K381" s="4">
        <f t="shared" ca="1" si="118"/>
        <v>11755851</v>
      </c>
      <c r="L381" t="str">
        <f t="shared" ca="1" si="119"/>
        <v>Joy Ramos</v>
      </c>
      <c r="M381" t="str">
        <f t="shared" ca="1" si="120"/>
        <v>OFW</v>
      </c>
      <c r="N381" t="str">
        <f t="shared" ca="1" si="121"/>
        <v>Pag-IBIG Loan</v>
      </c>
      <c r="O381" s="1">
        <f t="shared" ca="1" si="122"/>
        <v>371</v>
      </c>
      <c r="P381" s="2">
        <f t="shared" ca="1" si="123"/>
        <v>352675.52999999997</v>
      </c>
      <c r="Q381" s="2">
        <f t="shared" ca="1" si="124"/>
        <v>-601029</v>
      </c>
      <c r="R381" s="3">
        <f t="shared" ca="1" si="125"/>
        <v>192718.86885245901</v>
      </c>
      <c r="S381">
        <f t="shared" ca="1" si="126"/>
        <v>61</v>
      </c>
      <c r="T381" s="2">
        <f t="shared" ca="1" si="127"/>
        <v>12356880.048639219</v>
      </c>
      <c r="U381" s="17">
        <f t="shared" si="130"/>
        <v>2023</v>
      </c>
      <c r="V381" s="20" t="str">
        <f t="shared" si="128"/>
        <v>Sep-2023</v>
      </c>
    </row>
    <row r="382" spans="1:22" x14ac:dyDescent="0.3">
      <c r="A382" t="str">
        <f t="shared" si="129"/>
        <v>TX-00382</v>
      </c>
      <c r="B382" s="6">
        <v>45133</v>
      </c>
      <c r="C382" t="str">
        <f t="shared" ca="1" si="111"/>
        <v>Condo</v>
      </c>
      <c r="D382" s="1" t="str">
        <f t="shared" ca="1" si="112"/>
        <v>Bulacan</v>
      </c>
      <c r="E382" s="1">
        <f t="shared" ref="E382:F401" ca="1" si="133">RANDBETWEEN(1,4)</f>
        <v>1</v>
      </c>
      <c r="F382" s="1">
        <f t="shared" ca="1" si="133"/>
        <v>3</v>
      </c>
      <c r="G382">
        <f t="shared" ca="1" si="114"/>
        <v>128</v>
      </c>
      <c r="H382">
        <f t="shared" ca="1" si="115"/>
        <v>235</v>
      </c>
      <c r="I382">
        <f t="shared" ca="1" si="116"/>
        <v>2018</v>
      </c>
      <c r="J382" s="2">
        <f t="shared" ca="1" si="117"/>
        <v>9337277</v>
      </c>
      <c r="K382" s="4">
        <f t="shared" ca="1" si="118"/>
        <v>12102321</v>
      </c>
      <c r="L382" t="str">
        <f t="shared" ca="1" si="119"/>
        <v>Rachel Villanueva</v>
      </c>
      <c r="M382" t="str">
        <f t="shared" ca="1" si="120"/>
        <v>OFW</v>
      </c>
      <c r="N382" t="str">
        <f t="shared" ca="1" si="121"/>
        <v>Installment</v>
      </c>
      <c r="O382" s="1">
        <f t="shared" ca="1" si="122"/>
        <v>120</v>
      </c>
      <c r="P382" s="2">
        <f t="shared" ca="1" si="123"/>
        <v>363069.63</v>
      </c>
      <c r="Q382" s="2">
        <f t="shared" ca="1" si="124"/>
        <v>2765044</v>
      </c>
      <c r="R382" s="3">
        <f t="shared" ca="1" si="125"/>
        <v>94549.3828125</v>
      </c>
      <c r="S382">
        <f t="shared" ca="1" si="126"/>
        <v>128</v>
      </c>
      <c r="T382" s="2">
        <f t="shared" ca="1" si="127"/>
        <v>9337276.703870412</v>
      </c>
      <c r="U382" s="17">
        <f t="shared" si="130"/>
        <v>2023</v>
      </c>
      <c r="V382" s="20" t="str">
        <f t="shared" si="128"/>
        <v>Jul-2023</v>
      </c>
    </row>
    <row r="383" spans="1:22" x14ac:dyDescent="0.3">
      <c r="A383" t="str">
        <f t="shared" si="129"/>
        <v>TX-00383</v>
      </c>
      <c r="B383" s="6">
        <v>43924</v>
      </c>
      <c r="C383" t="str">
        <f t="shared" ca="1" si="111"/>
        <v>Commercial</v>
      </c>
      <c r="D383" s="1" t="str">
        <f t="shared" ca="1" si="112"/>
        <v>Laguna</v>
      </c>
      <c r="E383" s="1">
        <f t="shared" ca="1" si="133"/>
        <v>3</v>
      </c>
      <c r="F383" s="1">
        <f t="shared" ca="1" si="133"/>
        <v>1</v>
      </c>
      <c r="G383">
        <f t="shared" ca="1" si="114"/>
        <v>161</v>
      </c>
      <c r="H383">
        <f t="shared" ca="1" si="115"/>
        <v>199</v>
      </c>
      <c r="I383">
        <f t="shared" ca="1" si="116"/>
        <v>2011</v>
      </c>
      <c r="J383" s="2">
        <f t="shared" ca="1" si="117"/>
        <v>4924287</v>
      </c>
      <c r="K383" s="4">
        <f t="shared" ca="1" si="118"/>
        <v>11282589</v>
      </c>
      <c r="L383" t="str">
        <f t="shared" ca="1" si="119"/>
        <v>Mary Garcia</v>
      </c>
      <c r="M383" t="str">
        <f t="shared" ca="1" si="120"/>
        <v>OFW</v>
      </c>
      <c r="N383" t="str">
        <f t="shared" ca="1" si="121"/>
        <v>Installment</v>
      </c>
      <c r="O383" s="1">
        <f t="shared" ca="1" si="122"/>
        <v>212</v>
      </c>
      <c r="P383" s="2">
        <f t="shared" ca="1" si="123"/>
        <v>338477.67</v>
      </c>
      <c r="Q383" s="2">
        <f t="shared" ca="1" si="124"/>
        <v>6358302</v>
      </c>
      <c r="R383" s="3">
        <f t="shared" ca="1" si="125"/>
        <v>56696.427135678394</v>
      </c>
      <c r="S383">
        <f t="shared" ca="1" si="126"/>
        <v>199</v>
      </c>
      <c r="T383" s="2">
        <f t="shared" ca="1" si="127"/>
        <v>4924285.708787282</v>
      </c>
      <c r="U383" s="17">
        <f t="shared" si="130"/>
        <v>2020</v>
      </c>
      <c r="V383" s="20" t="str">
        <f t="shared" si="128"/>
        <v>Apr-2020</v>
      </c>
    </row>
    <row r="384" spans="1:22" x14ac:dyDescent="0.3">
      <c r="A384" t="str">
        <f t="shared" si="129"/>
        <v>TX-00384</v>
      </c>
      <c r="B384" s="6">
        <v>45063</v>
      </c>
      <c r="C384" t="str">
        <f t="shared" ca="1" si="111"/>
        <v>Commercial</v>
      </c>
      <c r="D384" s="1" t="str">
        <f t="shared" ca="1" si="112"/>
        <v>Bulacan</v>
      </c>
      <c r="E384" s="1">
        <f t="shared" ca="1" si="133"/>
        <v>4</v>
      </c>
      <c r="F384" s="1">
        <f t="shared" ca="1" si="133"/>
        <v>1</v>
      </c>
      <c r="G384">
        <f t="shared" ca="1" si="114"/>
        <v>106</v>
      </c>
      <c r="H384">
        <f t="shared" ca="1" si="115"/>
        <v>119</v>
      </c>
      <c r="I384">
        <f t="shared" ca="1" si="116"/>
        <v>2011</v>
      </c>
      <c r="J384" s="2">
        <f t="shared" ca="1" si="117"/>
        <v>13383019</v>
      </c>
      <c r="K384" s="4">
        <f t="shared" ca="1" si="118"/>
        <v>10500334</v>
      </c>
      <c r="L384" t="str">
        <f t="shared" ca="1" si="119"/>
        <v>Anna Mendoza</v>
      </c>
      <c r="M384" t="str">
        <f t="shared" ca="1" si="120"/>
        <v>OFW</v>
      </c>
      <c r="N384" t="str">
        <f t="shared" ca="1" si="121"/>
        <v>Cash</v>
      </c>
      <c r="O384" s="1">
        <f t="shared" ca="1" si="122"/>
        <v>170</v>
      </c>
      <c r="P384" s="2">
        <f t="shared" ca="1" si="123"/>
        <v>315010.01999999996</v>
      </c>
      <c r="Q384" s="2">
        <f t="shared" ca="1" si="124"/>
        <v>-2882685</v>
      </c>
      <c r="R384" s="3">
        <f t="shared" ca="1" si="125"/>
        <v>88238.100840336134</v>
      </c>
      <c r="S384">
        <f t="shared" ca="1" si="126"/>
        <v>119</v>
      </c>
      <c r="T384" s="2">
        <f t="shared" ca="1" si="127"/>
        <v>13383019.215398708</v>
      </c>
      <c r="U384" s="17">
        <f t="shared" si="130"/>
        <v>2023</v>
      </c>
      <c r="V384" s="20" t="str">
        <f t="shared" si="128"/>
        <v>May-2023</v>
      </c>
    </row>
    <row r="385" spans="1:22" x14ac:dyDescent="0.3">
      <c r="A385" t="str">
        <f t="shared" si="129"/>
        <v>TX-00385</v>
      </c>
      <c r="B385" s="6">
        <v>44939</v>
      </c>
      <c r="C385" t="str">
        <f t="shared" ca="1" si="111"/>
        <v>Condo</v>
      </c>
      <c r="D385" s="1" t="str">
        <f t="shared" ca="1" si="112"/>
        <v>Bulacan</v>
      </c>
      <c r="E385" s="1">
        <f t="shared" ca="1" si="133"/>
        <v>1</v>
      </c>
      <c r="F385" s="1">
        <f t="shared" ca="1" si="133"/>
        <v>2</v>
      </c>
      <c r="G385">
        <f t="shared" ca="1" si="114"/>
        <v>173</v>
      </c>
      <c r="H385">
        <f t="shared" ca="1" si="115"/>
        <v>225</v>
      </c>
      <c r="I385">
        <f t="shared" ca="1" si="116"/>
        <v>2016</v>
      </c>
      <c r="J385" s="2">
        <f t="shared" ca="1" si="117"/>
        <v>3428416</v>
      </c>
      <c r="K385" s="4">
        <f t="shared" ca="1" si="118"/>
        <v>8387679</v>
      </c>
      <c r="L385" t="str">
        <f t="shared" ca="1" si="119"/>
        <v>John Dela Cruz</v>
      </c>
      <c r="M385" t="str">
        <f t="shared" ca="1" si="120"/>
        <v>Corporation</v>
      </c>
      <c r="N385" t="str">
        <f t="shared" ca="1" si="121"/>
        <v>Pag-IBIG Loan</v>
      </c>
      <c r="O385" s="1">
        <f t="shared" ca="1" si="122"/>
        <v>198</v>
      </c>
      <c r="P385" s="2">
        <f t="shared" ca="1" si="123"/>
        <v>251630.37</v>
      </c>
      <c r="Q385" s="2">
        <f t="shared" ca="1" si="124"/>
        <v>4959263</v>
      </c>
      <c r="R385" s="3">
        <f t="shared" ca="1" si="125"/>
        <v>48483.693641618498</v>
      </c>
      <c r="S385">
        <f t="shared" ca="1" si="126"/>
        <v>173</v>
      </c>
      <c r="T385" s="2">
        <f t="shared" ca="1" si="127"/>
        <v>3428414.5534827164</v>
      </c>
      <c r="U385" s="17">
        <f t="shared" si="130"/>
        <v>2023</v>
      </c>
      <c r="V385" s="20" t="str">
        <f t="shared" si="128"/>
        <v>Jan-2023</v>
      </c>
    </row>
    <row r="386" spans="1:22" x14ac:dyDescent="0.3">
      <c r="A386" t="str">
        <f t="shared" si="129"/>
        <v>TX-00386</v>
      </c>
      <c r="B386" s="6">
        <v>44999</v>
      </c>
      <c r="C386" t="str">
        <f t="shared" ref="C386:C449" ca="1" si="134">CHOOSE(RANDBETWEEN(1,4),"Condo","House &amp; Lot","Commercial","Land")</f>
        <v>Condo</v>
      </c>
      <c r="D386" s="1" t="str">
        <f t="shared" ref="D386:D449" ca="1" si="135">CHOOSE(RANDBETWEEN(1,4),"Laguna","Makati","Cavite","Bulacan")</f>
        <v>Makati</v>
      </c>
      <c r="E386" s="1">
        <f t="shared" ca="1" si="133"/>
        <v>2</v>
      </c>
      <c r="F386" s="1">
        <f t="shared" ca="1" si="133"/>
        <v>2</v>
      </c>
      <c r="G386">
        <f t="shared" ref="G386:G449" ca="1" si="136">RANDBETWEEN(40,200)</f>
        <v>99</v>
      </c>
      <c r="H386">
        <f t="shared" ref="H386:H449" ca="1" si="137">RANDBETWEEN(50,250)</f>
        <v>231</v>
      </c>
      <c r="I386">
        <f t="shared" ref="I386:I449" ca="1" si="138">RANDBETWEEN(2010,2023)</f>
        <v>2023</v>
      </c>
      <c r="J386" s="2">
        <f t="shared" ref="J386:J449" ca="1" si="139">RANDBETWEEN(2000000,15000000)</f>
        <v>5784977</v>
      </c>
      <c r="K386" s="4">
        <f t="shared" ref="K386:K449" ca="1" si="140">RANDBETWEEN(1500000,13000000)</f>
        <v>8249327</v>
      </c>
      <c r="L386" t="str">
        <f t="shared" ref="L386:L449" ca="1" si="141">CHOOSE(RANDBETWEEN(1,9),"John Dela Cruz", "Michael Santos", "Mark Reyes", "Daniel Cruz", "Mary Garcia","Anna Mendoza", "Michelle Flores", "Rachel Villanueva", "Joy Ramos")</f>
        <v>Mary Garcia</v>
      </c>
      <c r="M386" t="str">
        <f t="shared" ref="M386:M449" ca="1" si="142">CHOOSE(RANDBETWEEN(1,4),"Individual", "Corporation", "OFW", "Investor")</f>
        <v>OFW</v>
      </c>
      <c r="N386" t="str">
        <f t="shared" ref="N386:N449" ca="1" si="143">CHOOSE(RANDBETWEEN(1,4),"Cash", "Bank Loan", "Pag-IBIG Loan", "Installment")</f>
        <v>Installment</v>
      </c>
      <c r="O386" s="1">
        <f t="shared" ref="O386:O449" ca="1" si="144">RANDBETWEEN(100,400)</f>
        <v>357</v>
      </c>
      <c r="P386" s="2">
        <f t="shared" ref="P386:P449" ca="1" si="145">SUM(K386*0.03)</f>
        <v>247479.81</v>
      </c>
      <c r="Q386" s="2">
        <f t="shared" ref="Q386:Q449" ca="1" si="146">SUM(K386-J386)</f>
        <v>2464350</v>
      </c>
      <c r="R386" s="3">
        <f t="shared" ref="R386:R449" ca="1" si="147">SUM(K386/S386)</f>
        <v>83326.53535353535</v>
      </c>
      <c r="S386">
        <f t="shared" ref="S386:S449" ca="1" si="148">IF(C386="Condo", G386,H386)</f>
        <v>99</v>
      </c>
      <c r="T386" s="2">
        <f t="shared" ref="T386:T449" ca="1" si="149">SUM(J386-Q386/J386)</f>
        <v>5784976.5740086781</v>
      </c>
      <c r="U386" s="17">
        <f t="shared" si="130"/>
        <v>2023</v>
      </c>
      <c r="V386" s="20" t="str">
        <f t="shared" ref="V386:V449" si="150">TEXT(B386,"mmm-yyyy")</f>
        <v>Mar-2023</v>
      </c>
    </row>
    <row r="387" spans="1:22" x14ac:dyDescent="0.3">
      <c r="A387" t="str">
        <f t="shared" ref="A387:A450" si="151">"TX-" &amp; TEXT(ROW(),"00000")</f>
        <v>TX-00387</v>
      </c>
      <c r="B387" s="6">
        <v>44253</v>
      </c>
      <c r="C387" t="str">
        <f t="shared" ca="1" si="134"/>
        <v>House &amp; Lot</v>
      </c>
      <c r="D387" s="1" t="str">
        <f t="shared" ca="1" si="135"/>
        <v>Laguna</v>
      </c>
      <c r="E387" s="1">
        <f t="shared" ca="1" si="133"/>
        <v>4</v>
      </c>
      <c r="F387" s="1">
        <f t="shared" ca="1" si="133"/>
        <v>4</v>
      </c>
      <c r="G387">
        <f t="shared" ca="1" si="136"/>
        <v>98</v>
      </c>
      <c r="H387">
        <f t="shared" ca="1" si="137"/>
        <v>171</v>
      </c>
      <c r="I387">
        <f t="shared" ca="1" si="138"/>
        <v>2015</v>
      </c>
      <c r="J387" s="2">
        <f t="shared" ca="1" si="139"/>
        <v>7411393</v>
      </c>
      <c r="K387" s="4">
        <f t="shared" ca="1" si="140"/>
        <v>5289539</v>
      </c>
      <c r="L387" t="str">
        <f t="shared" ca="1" si="141"/>
        <v>Anna Mendoza</v>
      </c>
      <c r="M387" t="str">
        <f t="shared" ca="1" si="142"/>
        <v>Corporation</v>
      </c>
      <c r="N387" t="str">
        <f t="shared" ca="1" si="143"/>
        <v>Bank Loan</v>
      </c>
      <c r="O387" s="1">
        <f t="shared" ca="1" si="144"/>
        <v>171</v>
      </c>
      <c r="P387" s="2">
        <f t="shared" ca="1" si="145"/>
        <v>158686.16999999998</v>
      </c>
      <c r="Q387" s="2">
        <f t="shared" ca="1" si="146"/>
        <v>-2121854</v>
      </c>
      <c r="R387" s="3">
        <f t="shared" ca="1" si="147"/>
        <v>30932.976608187135</v>
      </c>
      <c r="S387">
        <f t="shared" ca="1" si="148"/>
        <v>171</v>
      </c>
      <c r="T387" s="2">
        <f t="shared" ca="1" si="149"/>
        <v>7411393.2862962466</v>
      </c>
      <c r="U387" s="17">
        <f t="shared" ref="U387:U450" si="152">YEAR(B387)</f>
        <v>2021</v>
      </c>
      <c r="V387" s="20" t="str">
        <f t="shared" si="150"/>
        <v>Feb-2021</v>
      </c>
    </row>
    <row r="388" spans="1:22" x14ac:dyDescent="0.3">
      <c r="A388" t="str">
        <f t="shared" si="151"/>
        <v>TX-00388</v>
      </c>
      <c r="B388" s="6">
        <v>43419</v>
      </c>
      <c r="C388" t="str">
        <f t="shared" ca="1" si="134"/>
        <v>Commercial</v>
      </c>
      <c r="D388" s="1" t="str">
        <f t="shared" ca="1" si="135"/>
        <v>Cavite</v>
      </c>
      <c r="E388" s="1">
        <f t="shared" ca="1" si="133"/>
        <v>4</v>
      </c>
      <c r="F388" s="1">
        <f t="shared" ca="1" si="133"/>
        <v>3</v>
      </c>
      <c r="G388">
        <f t="shared" ca="1" si="136"/>
        <v>176</v>
      </c>
      <c r="H388">
        <f t="shared" ca="1" si="137"/>
        <v>199</v>
      </c>
      <c r="I388">
        <f t="shared" ca="1" si="138"/>
        <v>2021</v>
      </c>
      <c r="J388" s="2">
        <f t="shared" ca="1" si="139"/>
        <v>5798469</v>
      </c>
      <c r="K388" s="4">
        <f t="shared" ca="1" si="140"/>
        <v>5531009</v>
      </c>
      <c r="L388" t="str">
        <f t="shared" ca="1" si="141"/>
        <v>Mark Reyes</v>
      </c>
      <c r="M388" t="str">
        <f t="shared" ca="1" si="142"/>
        <v>Corporation</v>
      </c>
      <c r="N388" t="str">
        <f t="shared" ca="1" si="143"/>
        <v>Cash</v>
      </c>
      <c r="O388" s="1">
        <f t="shared" ca="1" si="144"/>
        <v>192</v>
      </c>
      <c r="P388" s="2">
        <f t="shared" ca="1" si="145"/>
        <v>165930.26999999999</v>
      </c>
      <c r="Q388" s="2">
        <f t="shared" ca="1" si="146"/>
        <v>-267460</v>
      </c>
      <c r="R388" s="3">
        <f t="shared" ca="1" si="147"/>
        <v>27794.015075376883</v>
      </c>
      <c r="S388">
        <f t="shared" ca="1" si="148"/>
        <v>199</v>
      </c>
      <c r="T388" s="2">
        <f t="shared" ca="1" si="149"/>
        <v>5798469.0461259689</v>
      </c>
      <c r="U388" s="17">
        <f t="shared" si="152"/>
        <v>2018</v>
      </c>
      <c r="V388" s="20" t="str">
        <f t="shared" si="150"/>
        <v>Nov-2018</v>
      </c>
    </row>
    <row r="389" spans="1:22" x14ac:dyDescent="0.3">
      <c r="A389" t="str">
        <f t="shared" si="151"/>
        <v>TX-00389</v>
      </c>
      <c r="B389" s="6">
        <v>45877</v>
      </c>
      <c r="C389" t="str">
        <f t="shared" ca="1" si="134"/>
        <v>House &amp; Lot</v>
      </c>
      <c r="D389" s="1" t="str">
        <f t="shared" ca="1" si="135"/>
        <v>Makati</v>
      </c>
      <c r="E389" s="1">
        <f t="shared" ca="1" si="133"/>
        <v>1</v>
      </c>
      <c r="F389" s="1">
        <f t="shared" ca="1" si="133"/>
        <v>3</v>
      </c>
      <c r="G389">
        <f t="shared" ca="1" si="136"/>
        <v>87</v>
      </c>
      <c r="H389">
        <f t="shared" ca="1" si="137"/>
        <v>59</v>
      </c>
      <c r="I389">
        <f t="shared" ca="1" si="138"/>
        <v>2014</v>
      </c>
      <c r="J389" s="2">
        <f t="shared" ca="1" si="139"/>
        <v>8413423</v>
      </c>
      <c r="K389" s="4">
        <f t="shared" ca="1" si="140"/>
        <v>11742708</v>
      </c>
      <c r="L389" t="str">
        <f t="shared" ca="1" si="141"/>
        <v>Mary Garcia</v>
      </c>
      <c r="M389" t="str">
        <f t="shared" ca="1" si="142"/>
        <v>OFW</v>
      </c>
      <c r="N389" t="str">
        <f t="shared" ca="1" si="143"/>
        <v>Pag-IBIG Loan</v>
      </c>
      <c r="O389" s="1">
        <f t="shared" ca="1" si="144"/>
        <v>300</v>
      </c>
      <c r="P389" s="2">
        <f t="shared" ca="1" si="145"/>
        <v>352281.24</v>
      </c>
      <c r="Q389" s="2">
        <f t="shared" ca="1" si="146"/>
        <v>3329285</v>
      </c>
      <c r="R389" s="3">
        <f t="shared" ca="1" si="147"/>
        <v>199028.94915254237</v>
      </c>
      <c r="S389">
        <f t="shared" ca="1" si="148"/>
        <v>59</v>
      </c>
      <c r="T389" s="2">
        <f t="shared" ca="1" si="149"/>
        <v>8413422.6042888854</v>
      </c>
      <c r="U389" s="17">
        <f t="shared" si="152"/>
        <v>2025</v>
      </c>
      <c r="V389" s="20" t="str">
        <f t="shared" si="150"/>
        <v>Aug-2025</v>
      </c>
    </row>
    <row r="390" spans="1:22" x14ac:dyDescent="0.3">
      <c r="A390" t="str">
        <f t="shared" si="151"/>
        <v>TX-00390</v>
      </c>
      <c r="B390" s="6">
        <v>43844</v>
      </c>
      <c r="C390" t="str">
        <f t="shared" ca="1" si="134"/>
        <v>House &amp; Lot</v>
      </c>
      <c r="D390" s="1" t="str">
        <f t="shared" ca="1" si="135"/>
        <v>Laguna</v>
      </c>
      <c r="E390" s="1">
        <f t="shared" ca="1" si="133"/>
        <v>4</v>
      </c>
      <c r="F390" s="1">
        <f t="shared" ca="1" si="133"/>
        <v>2</v>
      </c>
      <c r="G390">
        <f t="shared" ca="1" si="136"/>
        <v>54</v>
      </c>
      <c r="H390">
        <f t="shared" ca="1" si="137"/>
        <v>140</v>
      </c>
      <c r="I390">
        <f t="shared" ca="1" si="138"/>
        <v>2011</v>
      </c>
      <c r="J390" s="2">
        <f t="shared" ca="1" si="139"/>
        <v>11875044</v>
      </c>
      <c r="K390" s="4">
        <f t="shared" ca="1" si="140"/>
        <v>11491601</v>
      </c>
      <c r="L390" t="str">
        <f t="shared" ca="1" si="141"/>
        <v>Michael Santos</v>
      </c>
      <c r="M390" t="str">
        <f t="shared" ca="1" si="142"/>
        <v>OFW</v>
      </c>
      <c r="N390" t="str">
        <f t="shared" ca="1" si="143"/>
        <v>Cash</v>
      </c>
      <c r="O390" s="1">
        <f t="shared" ca="1" si="144"/>
        <v>160</v>
      </c>
      <c r="P390" s="2">
        <f t="shared" ca="1" si="145"/>
        <v>344748.02999999997</v>
      </c>
      <c r="Q390" s="2">
        <f t="shared" ca="1" si="146"/>
        <v>-383443</v>
      </c>
      <c r="R390" s="3">
        <f t="shared" ca="1" si="147"/>
        <v>82082.864285714284</v>
      </c>
      <c r="S390">
        <f t="shared" ca="1" si="148"/>
        <v>140</v>
      </c>
      <c r="T390" s="2">
        <f t="shared" ca="1" si="149"/>
        <v>11875044.032289818</v>
      </c>
      <c r="U390" s="17">
        <f t="shared" si="152"/>
        <v>2020</v>
      </c>
      <c r="V390" s="20" t="str">
        <f t="shared" si="150"/>
        <v>Jan-2020</v>
      </c>
    </row>
    <row r="391" spans="1:22" x14ac:dyDescent="0.3">
      <c r="A391" t="str">
        <f t="shared" si="151"/>
        <v>TX-00391</v>
      </c>
      <c r="B391" s="6">
        <v>44631</v>
      </c>
      <c r="C391" t="str">
        <f t="shared" ca="1" si="134"/>
        <v>House &amp; Lot</v>
      </c>
      <c r="D391" s="1" t="str">
        <f t="shared" ca="1" si="135"/>
        <v>Makati</v>
      </c>
      <c r="E391" s="1">
        <f t="shared" ca="1" si="133"/>
        <v>4</v>
      </c>
      <c r="F391" s="1">
        <f t="shared" ca="1" si="133"/>
        <v>4</v>
      </c>
      <c r="G391">
        <f t="shared" ca="1" si="136"/>
        <v>73</v>
      </c>
      <c r="H391">
        <f t="shared" ca="1" si="137"/>
        <v>210</v>
      </c>
      <c r="I391">
        <f t="shared" ca="1" si="138"/>
        <v>2021</v>
      </c>
      <c r="J391" s="2">
        <f t="shared" ca="1" si="139"/>
        <v>5894736</v>
      </c>
      <c r="K391" s="4">
        <f t="shared" ca="1" si="140"/>
        <v>2247367</v>
      </c>
      <c r="L391" t="str">
        <f t="shared" ca="1" si="141"/>
        <v>Daniel Cruz</v>
      </c>
      <c r="M391" t="str">
        <f t="shared" ca="1" si="142"/>
        <v>Individual</v>
      </c>
      <c r="N391" t="str">
        <f t="shared" ca="1" si="143"/>
        <v>Pag-IBIG Loan</v>
      </c>
      <c r="O391" s="1">
        <f t="shared" ca="1" si="144"/>
        <v>228</v>
      </c>
      <c r="P391" s="2">
        <f t="shared" ca="1" si="145"/>
        <v>67421.009999999995</v>
      </c>
      <c r="Q391" s="2">
        <f t="shared" ca="1" si="146"/>
        <v>-3647369</v>
      </c>
      <c r="R391" s="3">
        <f t="shared" ca="1" si="147"/>
        <v>10701.747619047619</v>
      </c>
      <c r="S391">
        <f t="shared" ca="1" si="148"/>
        <v>210</v>
      </c>
      <c r="T391" s="2">
        <f t="shared" ca="1" si="149"/>
        <v>5894736.6187501866</v>
      </c>
      <c r="U391" s="17">
        <f t="shared" si="152"/>
        <v>2022</v>
      </c>
      <c r="V391" s="20" t="str">
        <f t="shared" si="150"/>
        <v>Mar-2022</v>
      </c>
    </row>
    <row r="392" spans="1:22" x14ac:dyDescent="0.3">
      <c r="A392" t="str">
        <f t="shared" si="151"/>
        <v>TX-00392</v>
      </c>
      <c r="B392" s="6">
        <v>45151</v>
      </c>
      <c r="C392" t="str">
        <f t="shared" ca="1" si="134"/>
        <v>Commercial</v>
      </c>
      <c r="D392" s="1" t="str">
        <f t="shared" ca="1" si="135"/>
        <v>Laguna</v>
      </c>
      <c r="E392" s="1">
        <f t="shared" ca="1" si="133"/>
        <v>1</v>
      </c>
      <c r="F392" s="1">
        <f t="shared" ca="1" si="133"/>
        <v>4</v>
      </c>
      <c r="G392">
        <f t="shared" ca="1" si="136"/>
        <v>77</v>
      </c>
      <c r="H392">
        <f t="shared" ca="1" si="137"/>
        <v>202</v>
      </c>
      <c r="I392">
        <f t="shared" ca="1" si="138"/>
        <v>2016</v>
      </c>
      <c r="J392" s="2">
        <f t="shared" ca="1" si="139"/>
        <v>10398075</v>
      </c>
      <c r="K392" s="4">
        <f t="shared" ca="1" si="140"/>
        <v>7781389</v>
      </c>
      <c r="L392" t="str">
        <f t="shared" ca="1" si="141"/>
        <v>Daniel Cruz</v>
      </c>
      <c r="M392" t="str">
        <f t="shared" ca="1" si="142"/>
        <v>Corporation</v>
      </c>
      <c r="N392" t="str">
        <f t="shared" ca="1" si="143"/>
        <v>Pag-IBIG Loan</v>
      </c>
      <c r="O392" s="1">
        <f t="shared" ca="1" si="144"/>
        <v>386</v>
      </c>
      <c r="P392" s="2">
        <f t="shared" ca="1" si="145"/>
        <v>233441.66999999998</v>
      </c>
      <c r="Q392" s="2">
        <f t="shared" ca="1" si="146"/>
        <v>-2616686</v>
      </c>
      <c r="R392" s="3">
        <f t="shared" ca="1" si="147"/>
        <v>38521.727722772281</v>
      </c>
      <c r="S392">
        <f t="shared" ca="1" si="148"/>
        <v>202</v>
      </c>
      <c r="T392" s="2">
        <f t="shared" ca="1" si="149"/>
        <v>10398075.251651002</v>
      </c>
      <c r="U392" s="17">
        <f t="shared" si="152"/>
        <v>2023</v>
      </c>
      <c r="V392" s="20" t="str">
        <f t="shared" si="150"/>
        <v>Aug-2023</v>
      </c>
    </row>
    <row r="393" spans="1:22" x14ac:dyDescent="0.3">
      <c r="A393" t="str">
        <f t="shared" si="151"/>
        <v>TX-00393</v>
      </c>
      <c r="B393" s="6">
        <v>45265</v>
      </c>
      <c r="C393" t="str">
        <f t="shared" ca="1" si="134"/>
        <v>Land</v>
      </c>
      <c r="D393" s="1" t="str">
        <f t="shared" ca="1" si="135"/>
        <v>Bulacan</v>
      </c>
      <c r="E393" s="1">
        <f t="shared" ca="1" si="133"/>
        <v>4</v>
      </c>
      <c r="F393" s="1">
        <f t="shared" ca="1" si="133"/>
        <v>1</v>
      </c>
      <c r="G393">
        <f t="shared" ca="1" si="136"/>
        <v>58</v>
      </c>
      <c r="H393">
        <f t="shared" ca="1" si="137"/>
        <v>172</v>
      </c>
      <c r="I393">
        <f t="shared" ca="1" si="138"/>
        <v>2020</v>
      </c>
      <c r="J393" s="2">
        <f t="shared" ca="1" si="139"/>
        <v>5390557</v>
      </c>
      <c r="K393" s="4">
        <f t="shared" ca="1" si="140"/>
        <v>2126013</v>
      </c>
      <c r="L393" t="str">
        <f t="shared" ca="1" si="141"/>
        <v>Michelle Flores</v>
      </c>
      <c r="M393" t="str">
        <f t="shared" ca="1" si="142"/>
        <v>Individual</v>
      </c>
      <c r="N393" t="str">
        <f t="shared" ca="1" si="143"/>
        <v>Bank Loan</v>
      </c>
      <c r="O393" s="1">
        <f t="shared" ca="1" si="144"/>
        <v>363</v>
      </c>
      <c r="P393" s="2">
        <f t="shared" ca="1" si="145"/>
        <v>63780.39</v>
      </c>
      <c r="Q393" s="2">
        <f t="shared" ca="1" si="146"/>
        <v>-3264544</v>
      </c>
      <c r="R393" s="3">
        <f t="shared" ca="1" si="147"/>
        <v>12360.540697674418</v>
      </c>
      <c r="S393">
        <f t="shared" ca="1" si="148"/>
        <v>172</v>
      </c>
      <c r="T393" s="2">
        <f t="shared" ca="1" si="149"/>
        <v>5390557.6056042071</v>
      </c>
      <c r="U393" s="17">
        <f t="shared" si="152"/>
        <v>2023</v>
      </c>
      <c r="V393" s="20" t="str">
        <f t="shared" si="150"/>
        <v>Dec-2023</v>
      </c>
    </row>
    <row r="394" spans="1:22" x14ac:dyDescent="0.3">
      <c r="A394" t="str">
        <f t="shared" si="151"/>
        <v>TX-00394</v>
      </c>
      <c r="B394" s="6">
        <v>43784</v>
      </c>
      <c r="C394" t="str">
        <f t="shared" ca="1" si="134"/>
        <v>Commercial</v>
      </c>
      <c r="D394" s="1" t="str">
        <f t="shared" ca="1" si="135"/>
        <v>Makati</v>
      </c>
      <c r="E394" s="1">
        <f t="shared" ca="1" si="133"/>
        <v>4</v>
      </c>
      <c r="F394" s="1">
        <f t="shared" ca="1" si="133"/>
        <v>4</v>
      </c>
      <c r="G394">
        <f t="shared" ca="1" si="136"/>
        <v>97</v>
      </c>
      <c r="H394">
        <f t="shared" ca="1" si="137"/>
        <v>89</v>
      </c>
      <c r="I394">
        <f t="shared" ca="1" si="138"/>
        <v>2021</v>
      </c>
      <c r="J394" s="2">
        <f t="shared" ca="1" si="139"/>
        <v>8285984</v>
      </c>
      <c r="K394" s="4">
        <f t="shared" ca="1" si="140"/>
        <v>11689154</v>
      </c>
      <c r="L394" t="str">
        <f t="shared" ca="1" si="141"/>
        <v>John Dela Cruz</v>
      </c>
      <c r="M394" t="str">
        <f t="shared" ca="1" si="142"/>
        <v>Individual</v>
      </c>
      <c r="N394" t="str">
        <f t="shared" ca="1" si="143"/>
        <v>Bank Loan</v>
      </c>
      <c r="O394" s="1">
        <f t="shared" ca="1" si="144"/>
        <v>110</v>
      </c>
      <c r="P394" s="2">
        <f t="shared" ca="1" si="145"/>
        <v>350674.62</v>
      </c>
      <c r="Q394" s="2">
        <f t="shared" ca="1" si="146"/>
        <v>3403170</v>
      </c>
      <c r="R394" s="3">
        <f t="shared" ca="1" si="147"/>
        <v>131338.80898876404</v>
      </c>
      <c r="S394">
        <f t="shared" ca="1" si="148"/>
        <v>89</v>
      </c>
      <c r="T394" s="2">
        <f t="shared" ca="1" si="149"/>
        <v>8285983.5892859558</v>
      </c>
      <c r="U394" s="17">
        <f t="shared" si="152"/>
        <v>2019</v>
      </c>
      <c r="V394" s="20" t="str">
        <f t="shared" si="150"/>
        <v>Nov-2019</v>
      </c>
    </row>
    <row r="395" spans="1:22" x14ac:dyDescent="0.3">
      <c r="A395" t="str">
        <f t="shared" si="151"/>
        <v>TX-00395</v>
      </c>
      <c r="B395" s="6">
        <v>45103</v>
      </c>
      <c r="C395" t="str">
        <f t="shared" ca="1" si="134"/>
        <v>House &amp; Lot</v>
      </c>
      <c r="D395" s="1" t="str">
        <f t="shared" ca="1" si="135"/>
        <v>Bulacan</v>
      </c>
      <c r="E395" s="1">
        <f t="shared" ca="1" si="133"/>
        <v>2</v>
      </c>
      <c r="F395" s="1">
        <f t="shared" ca="1" si="133"/>
        <v>2</v>
      </c>
      <c r="G395">
        <f t="shared" ca="1" si="136"/>
        <v>94</v>
      </c>
      <c r="H395">
        <f t="shared" ca="1" si="137"/>
        <v>203</v>
      </c>
      <c r="I395">
        <f t="shared" ca="1" si="138"/>
        <v>2010</v>
      </c>
      <c r="J395" s="2">
        <f t="shared" ca="1" si="139"/>
        <v>5996974</v>
      </c>
      <c r="K395" s="4">
        <f t="shared" ca="1" si="140"/>
        <v>7549115</v>
      </c>
      <c r="L395" t="str">
        <f t="shared" ca="1" si="141"/>
        <v>Anna Mendoza</v>
      </c>
      <c r="M395" t="str">
        <f t="shared" ca="1" si="142"/>
        <v>OFW</v>
      </c>
      <c r="N395" t="str">
        <f t="shared" ca="1" si="143"/>
        <v>Installment</v>
      </c>
      <c r="O395" s="1">
        <f t="shared" ca="1" si="144"/>
        <v>233</v>
      </c>
      <c r="P395" s="2">
        <f t="shared" ca="1" si="145"/>
        <v>226473.44999999998</v>
      </c>
      <c r="Q395" s="2">
        <f t="shared" ca="1" si="146"/>
        <v>1552141</v>
      </c>
      <c r="R395" s="3">
        <f t="shared" ca="1" si="147"/>
        <v>37187.758620689652</v>
      </c>
      <c r="S395">
        <f t="shared" ca="1" si="148"/>
        <v>203</v>
      </c>
      <c r="T395" s="2">
        <f t="shared" ca="1" si="149"/>
        <v>5996973.7411793014</v>
      </c>
      <c r="U395" s="17">
        <f t="shared" si="152"/>
        <v>2023</v>
      </c>
      <c r="V395" s="20" t="str">
        <f t="shared" si="150"/>
        <v>Jun-2023</v>
      </c>
    </row>
    <row r="396" spans="1:22" x14ac:dyDescent="0.3">
      <c r="A396" t="str">
        <f t="shared" si="151"/>
        <v>TX-00396</v>
      </c>
      <c r="B396" s="6">
        <v>44939</v>
      </c>
      <c r="C396" t="str">
        <f t="shared" ca="1" si="134"/>
        <v>Commercial</v>
      </c>
      <c r="D396" s="1" t="str">
        <f t="shared" ca="1" si="135"/>
        <v>Makati</v>
      </c>
      <c r="E396" s="1">
        <f t="shared" ca="1" si="133"/>
        <v>1</v>
      </c>
      <c r="F396" s="1">
        <f t="shared" ca="1" si="133"/>
        <v>2</v>
      </c>
      <c r="G396">
        <f t="shared" ca="1" si="136"/>
        <v>179</v>
      </c>
      <c r="H396">
        <f t="shared" ca="1" si="137"/>
        <v>231</v>
      </c>
      <c r="I396">
        <f t="shared" ca="1" si="138"/>
        <v>2020</v>
      </c>
      <c r="J396" s="2">
        <f t="shared" ca="1" si="139"/>
        <v>9594944</v>
      </c>
      <c r="K396" s="4">
        <f t="shared" ca="1" si="140"/>
        <v>9992369</v>
      </c>
      <c r="L396" t="str">
        <f t="shared" ca="1" si="141"/>
        <v>Mary Garcia</v>
      </c>
      <c r="M396" t="str">
        <f t="shared" ca="1" si="142"/>
        <v>Individual</v>
      </c>
      <c r="N396" t="str">
        <f t="shared" ca="1" si="143"/>
        <v>Bank Loan</v>
      </c>
      <c r="O396" s="1">
        <f t="shared" ca="1" si="144"/>
        <v>171</v>
      </c>
      <c r="P396" s="2">
        <f t="shared" ca="1" si="145"/>
        <v>299771.07</v>
      </c>
      <c r="Q396" s="2">
        <f t="shared" ca="1" si="146"/>
        <v>397425</v>
      </c>
      <c r="R396" s="3">
        <f t="shared" ca="1" si="147"/>
        <v>43257.008658008657</v>
      </c>
      <c r="S396">
        <f t="shared" ca="1" si="148"/>
        <v>231</v>
      </c>
      <c r="T396" s="2">
        <f t="shared" ca="1" si="149"/>
        <v>9594943.958579747</v>
      </c>
      <c r="U396" s="17">
        <f t="shared" si="152"/>
        <v>2023</v>
      </c>
      <c r="V396" s="20" t="str">
        <f t="shared" si="150"/>
        <v>Jan-2023</v>
      </c>
    </row>
    <row r="397" spans="1:22" x14ac:dyDescent="0.3">
      <c r="A397" t="str">
        <f t="shared" si="151"/>
        <v>TX-00397</v>
      </c>
      <c r="B397" s="6">
        <v>44408</v>
      </c>
      <c r="C397" t="str">
        <f t="shared" ca="1" si="134"/>
        <v>House &amp; Lot</v>
      </c>
      <c r="D397" s="1" t="str">
        <f t="shared" ca="1" si="135"/>
        <v>Makati</v>
      </c>
      <c r="E397" s="1">
        <f t="shared" ca="1" si="133"/>
        <v>4</v>
      </c>
      <c r="F397" s="1">
        <f t="shared" ca="1" si="133"/>
        <v>3</v>
      </c>
      <c r="G397">
        <f t="shared" ca="1" si="136"/>
        <v>94</v>
      </c>
      <c r="H397">
        <f t="shared" ca="1" si="137"/>
        <v>212</v>
      </c>
      <c r="I397">
        <f t="shared" ca="1" si="138"/>
        <v>2011</v>
      </c>
      <c r="J397" s="2">
        <f t="shared" ca="1" si="139"/>
        <v>7637866</v>
      </c>
      <c r="K397" s="4">
        <f t="shared" ca="1" si="140"/>
        <v>2756842</v>
      </c>
      <c r="L397" t="str">
        <f t="shared" ca="1" si="141"/>
        <v>Joy Ramos</v>
      </c>
      <c r="M397" t="str">
        <f t="shared" ca="1" si="142"/>
        <v>Individual</v>
      </c>
      <c r="N397" t="str">
        <f t="shared" ca="1" si="143"/>
        <v>Cash</v>
      </c>
      <c r="O397" s="1">
        <f t="shared" ca="1" si="144"/>
        <v>348</v>
      </c>
      <c r="P397" s="2">
        <f t="shared" ca="1" si="145"/>
        <v>82705.259999999995</v>
      </c>
      <c r="Q397" s="2">
        <f t="shared" ca="1" si="146"/>
        <v>-4881024</v>
      </c>
      <c r="R397" s="3">
        <f t="shared" ca="1" si="147"/>
        <v>13003.971698113208</v>
      </c>
      <c r="S397">
        <f t="shared" ca="1" si="148"/>
        <v>212</v>
      </c>
      <c r="T397" s="2">
        <f t="shared" ca="1" si="149"/>
        <v>7637866.6390559878</v>
      </c>
      <c r="U397" s="17">
        <f t="shared" si="152"/>
        <v>2021</v>
      </c>
      <c r="V397" s="20" t="str">
        <f t="shared" si="150"/>
        <v>Jul-2021</v>
      </c>
    </row>
    <row r="398" spans="1:22" x14ac:dyDescent="0.3">
      <c r="A398" t="str">
        <f t="shared" si="151"/>
        <v>TX-00398</v>
      </c>
      <c r="B398" s="6">
        <v>43859</v>
      </c>
      <c r="C398" t="str">
        <f t="shared" ca="1" si="134"/>
        <v>Land</v>
      </c>
      <c r="D398" s="1" t="str">
        <f t="shared" ca="1" si="135"/>
        <v>Makati</v>
      </c>
      <c r="E398" s="1">
        <f t="shared" ca="1" si="133"/>
        <v>4</v>
      </c>
      <c r="F398" s="1">
        <f t="shared" ca="1" si="133"/>
        <v>2</v>
      </c>
      <c r="G398">
        <f t="shared" ca="1" si="136"/>
        <v>151</v>
      </c>
      <c r="H398">
        <f t="shared" ca="1" si="137"/>
        <v>162</v>
      </c>
      <c r="I398">
        <f t="shared" ca="1" si="138"/>
        <v>2014</v>
      </c>
      <c r="J398" s="2">
        <f t="shared" ca="1" si="139"/>
        <v>8482209</v>
      </c>
      <c r="K398" s="4">
        <f t="shared" ca="1" si="140"/>
        <v>8962012</v>
      </c>
      <c r="L398" t="str">
        <f t="shared" ca="1" si="141"/>
        <v>Michelle Flores</v>
      </c>
      <c r="M398" t="str">
        <f t="shared" ca="1" si="142"/>
        <v>Corporation</v>
      </c>
      <c r="N398" t="str">
        <f t="shared" ca="1" si="143"/>
        <v>Installment</v>
      </c>
      <c r="O398" s="1">
        <f t="shared" ca="1" si="144"/>
        <v>326</v>
      </c>
      <c r="P398" s="2">
        <f t="shared" ca="1" si="145"/>
        <v>268860.36</v>
      </c>
      <c r="Q398" s="2">
        <f t="shared" ca="1" si="146"/>
        <v>479803</v>
      </c>
      <c r="R398" s="3">
        <f t="shared" ca="1" si="147"/>
        <v>55321.061728395063</v>
      </c>
      <c r="S398">
        <f t="shared" ca="1" si="148"/>
        <v>162</v>
      </c>
      <c r="T398" s="2">
        <f t="shared" ca="1" si="149"/>
        <v>8482208.9434341919</v>
      </c>
      <c r="U398" s="17">
        <f t="shared" si="152"/>
        <v>2020</v>
      </c>
      <c r="V398" s="20" t="str">
        <f t="shared" si="150"/>
        <v>Jan-2020</v>
      </c>
    </row>
    <row r="399" spans="1:22" x14ac:dyDescent="0.3">
      <c r="A399" t="str">
        <f t="shared" si="151"/>
        <v>TX-00399</v>
      </c>
      <c r="B399" s="6">
        <v>44997</v>
      </c>
      <c r="C399" t="str">
        <f t="shared" ca="1" si="134"/>
        <v>House &amp; Lot</v>
      </c>
      <c r="D399" s="1" t="str">
        <f t="shared" ca="1" si="135"/>
        <v>Laguna</v>
      </c>
      <c r="E399" s="1">
        <f t="shared" ca="1" si="133"/>
        <v>4</v>
      </c>
      <c r="F399" s="1">
        <f t="shared" ca="1" si="133"/>
        <v>3</v>
      </c>
      <c r="G399">
        <f t="shared" ca="1" si="136"/>
        <v>103</v>
      </c>
      <c r="H399">
        <f t="shared" ca="1" si="137"/>
        <v>175</v>
      </c>
      <c r="I399">
        <f t="shared" ca="1" si="138"/>
        <v>2014</v>
      </c>
      <c r="J399" s="2">
        <f t="shared" ca="1" si="139"/>
        <v>7132302</v>
      </c>
      <c r="K399" s="4">
        <f t="shared" ca="1" si="140"/>
        <v>4920836</v>
      </c>
      <c r="L399" t="str">
        <f t="shared" ca="1" si="141"/>
        <v>John Dela Cruz</v>
      </c>
      <c r="M399" t="str">
        <f t="shared" ca="1" si="142"/>
        <v>Individual</v>
      </c>
      <c r="N399" t="str">
        <f t="shared" ca="1" si="143"/>
        <v>Bank Loan</v>
      </c>
      <c r="O399" s="1">
        <f t="shared" ca="1" si="144"/>
        <v>150</v>
      </c>
      <c r="P399" s="2">
        <f t="shared" ca="1" si="145"/>
        <v>147625.07999999999</v>
      </c>
      <c r="Q399" s="2">
        <f t="shared" ca="1" si="146"/>
        <v>-2211466</v>
      </c>
      <c r="R399" s="3">
        <f t="shared" ca="1" si="147"/>
        <v>28119.062857142857</v>
      </c>
      <c r="S399">
        <f t="shared" ca="1" si="148"/>
        <v>175</v>
      </c>
      <c r="T399" s="2">
        <f t="shared" ca="1" si="149"/>
        <v>7132302.3100634273</v>
      </c>
      <c r="U399" s="17">
        <f t="shared" si="152"/>
        <v>2023</v>
      </c>
      <c r="V399" s="20" t="str">
        <f t="shared" si="150"/>
        <v>Mar-2023</v>
      </c>
    </row>
    <row r="400" spans="1:22" x14ac:dyDescent="0.3">
      <c r="A400" t="str">
        <f t="shared" si="151"/>
        <v>TX-00400</v>
      </c>
      <c r="B400" s="6">
        <v>45499</v>
      </c>
      <c r="C400" t="str">
        <f t="shared" ca="1" si="134"/>
        <v>House &amp; Lot</v>
      </c>
      <c r="D400" s="1" t="str">
        <f t="shared" ca="1" si="135"/>
        <v>Cavite</v>
      </c>
      <c r="E400" s="1">
        <f t="shared" ca="1" si="133"/>
        <v>1</v>
      </c>
      <c r="F400" s="1">
        <f t="shared" ca="1" si="133"/>
        <v>3</v>
      </c>
      <c r="G400">
        <f t="shared" ca="1" si="136"/>
        <v>170</v>
      </c>
      <c r="H400">
        <f t="shared" ca="1" si="137"/>
        <v>177</v>
      </c>
      <c r="I400">
        <f t="shared" ca="1" si="138"/>
        <v>2010</v>
      </c>
      <c r="J400" s="2">
        <f t="shared" ca="1" si="139"/>
        <v>9418091</v>
      </c>
      <c r="K400" s="4">
        <f t="shared" ca="1" si="140"/>
        <v>6405508</v>
      </c>
      <c r="L400" t="str">
        <f t="shared" ca="1" si="141"/>
        <v>Mary Garcia</v>
      </c>
      <c r="M400" t="str">
        <f t="shared" ca="1" si="142"/>
        <v>Corporation</v>
      </c>
      <c r="N400" t="str">
        <f t="shared" ca="1" si="143"/>
        <v>Installment</v>
      </c>
      <c r="O400" s="1">
        <f t="shared" ca="1" si="144"/>
        <v>348</v>
      </c>
      <c r="P400" s="2">
        <f t="shared" ca="1" si="145"/>
        <v>192165.24</v>
      </c>
      <c r="Q400" s="2">
        <f t="shared" ca="1" si="146"/>
        <v>-3012583</v>
      </c>
      <c r="R400" s="3">
        <f t="shared" ca="1" si="147"/>
        <v>36189.310734463274</v>
      </c>
      <c r="S400">
        <f t="shared" ca="1" si="148"/>
        <v>177</v>
      </c>
      <c r="T400" s="2">
        <f t="shared" ca="1" si="149"/>
        <v>9418091.319871936</v>
      </c>
      <c r="U400" s="17">
        <f t="shared" si="152"/>
        <v>2024</v>
      </c>
      <c r="V400" s="20" t="str">
        <f t="shared" si="150"/>
        <v>Jul-2024</v>
      </c>
    </row>
    <row r="401" spans="1:22" x14ac:dyDescent="0.3">
      <c r="A401" t="str">
        <f t="shared" si="151"/>
        <v>TX-00401</v>
      </c>
      <c r="B401" s="6">
        <v>43995</v>
      </c>
      <c r="C401" t="str">
        <f t="shared" ca="1" si="134"/>
        <v>Land</v>
      </c>
      <c r="D401" s="1" t="str">
        <f t="shared" ca="1" si="135"/>
        <v>Cavite</v>
      </c>
      <c r="E401" s="1">
        <f t="shared" ca="1" si="133"/>
        <v>2</v>
      </c>
      <c r="F401" s="1">
        <f t="shared" ca="1" si="133"/>
        <v>4</v>
      </c>
      <c r="G401">
        <f t="shared" ca="1" si="136"/>
        <v>139</v>
      </c>
      <c r="H401">
        <f t="shared" ca="1" si="137"/>
        <v>183</v>
      </c>
      <c r="I401">
        <f t="shared" ca="1" si="138"/>
        <v>2011</v>
      </c>
      <c r="J401" s="2">
        <f t="shared" ca="1" si="139"/>
        <v>4642050</v>
      </c>
      <c r="K401" s="4">
        <f t="shared" ca="1" si="140"/>
        <v>12418162</v>
      </c>
      <c r="L401" t="str">
        <f t="shared" ca="1" si="141"/>
        <v>Michael Santos</v>
      </c>
      <c r="M401" t="str">
        <f t="shared" ca="1" si="142"/>
        <v>OFW</v>
      </c>
      <c r="N401" t="str">
        <f t="shared" ca="1" si="143"/>
        <v>Pag-IBIG Loan</v>
      </c>
      <c r="O401" s="1">
        <f t="shared" ca="1" si="144"/>
        <v>184</v>
      </c>
      <c r="P401" s="2">
        <f t="shared" ca="1" si="145"/>
        <v>372544.86</v>
      </c>
      <c r="Q401" s="2">
        <f t="shared" ca="1" si="146"/>
        <v>7776112</v>
      </c>
      <c r="R401" s="3">
        <f t="shared" ca="1" si="147"/>
        <v>67858.8087431694</v>
      </c>
      <c r="S401">
        <f t="shared" ca="1" si="148"/>
        <v>183</v>
      </c>
      <c r="T401" s="2">
        <f t="shared" ca="1" si="149"/>
        <v>4642048.3248538896</v>
      </c>
      <c r="U401" s="17">
        <f t="shared" si="152"/>
        <v>2020</v>
      </c>
      <c r="V401" s="20" t="str">
        <f t="shared" si="150"/>
        <v>Jun-2020</v>
      </c>
    </row>
    <row r="402" spans="1:22" x14ac:dyDescent="0.3">
      <c r="A402" t="str">
        <f t="shared" si="151"/>
        <v>TX-00402</v>
      </c>
      <c r="B402" s="6">
        <v>45114</v>
      </c>
      <c r="C402" t="str">
        <f t="shared" ca="1" si="134"/>
        <v>Condo</v>
      </c>
      <c r="D402" s="1" t="str">
        <f t="shared" ca="1" si="135"/>
        <v>Laguna</v>
      </c>
      <c r="E402" s="1">
        <f t="shared" ref="E402:F421" ca="1" si="153">RANDBETWEEN(1,4)</f>
        <v>1</v>
      </c>
      <c r="F402" s="1">
        <f t="shared" ca="1" si="153"/>
        <v>3</v>
      </c>
      <c r="G402">
        <f t="shared" ca="1" si="136"/>
        <v>93</v>
      </c>
      <c r="H402">
        <f t="shared" ca="1" si="137"/>
        <v>80</v>
      </c>
      <c r="I402">
        <f t="shared" ca="1" si="138"/>
        <v>2019</v>
      </c>
      <c r="J402" s="2">
        <f t="shared" ca="1" si="139"/>
        <v>10100855</v>
      </c>
      <c r="K402" s="4">
        <f t="shared" ca="1" si="140"/>
        <v>11031906</v>
      </c>
      <c r="L402" t="str">
        <f t="shared" ca="1" si="141"/>
        <v>Anna Mendoza</v>
      </c>
      <c r="M402" t="str">
        <f t="shared" ca="1" si="142"/>
        <v>Individual</v>
      </c>
      <c r="N402" t="str">
        <f t="shared" ca="1" si="143"/>
        <v>Pag-IBIG Loan</v>
      </c>
      <c r="O402" s="1">
        <f t="shared" ca="1" si="144"/>
        <v>263</v>
      </c>
      <c r="P402" s="2">
        <f t="shared" ca="1" si="145"/>
        <v>330957.18</v>
      </c>
      <c r="Q402" s="2">
        <f t="shared" ca="1" si="146"/>
        <v>931051</v>
      </c>
      <c r="R402" s="3">
        <f t="shared" ca="1" si="147"/>
        <v>118622.64516129032</v>
      </c>
      <c r="S402">
        <f t="shared" ca="1" si="148"/>
        <v>93</v>
      </c>
      <c r="T402" s="2">
        <f t="shared" ca="1" si="149"/>
        <v>10100854.907824535</v>
      </c>
      <c r="U402" s="17">
        <f t="shared" si="152"/>
        <v>2023</v>
      </c>
      <c r="V402" s="20" t="str">
        <f t="shared" si="150"/>
        <v>Jul-2023</v>
      </c>
    </row>
    <row r="403" spans="1:22" x14ac:dyDescent="0.3">
      <c r="A403" t="str">
        <f t="shared" si="151"/>
        <v>TX-00403</v>
      </c>
      <c r="B403" s="6">
        <v>45107</v>
      </c>
      <c r="C403" t="str">
        <f t="shared" ca="1" si="134"/>
        <v>Land</v>
      </c>
      <c r="D403" s="1" t="str">
        <f t="shared" ca="1" si="135"/>
        <v>Bulacan</v>
      </c>
      <c r="E403" s="1">
        <f t="shared" ca="1" si="153"/>
        <v>2</v>
      </c>
      <c r="F403" s="1">
        <f t="shared" ca="1" si="153"/>
        <v>1</v>
      </c>
      <c r="G403">
        <f t="shared" ca="1" si="136"/>
        <v>132</v>
      </c>
      <c r="H403">
        <f t="shared" ca="1" si="137"/>
        <v>236</v>
      </c>
      <c r="I403">
        <f t="shared" ca="1" si="138"/>
        <v>2016</v>
      </c>
      <c r="J403" s="2">
        <f t="shared" ca="1" si="139"/>
        <v>7909633</v>
      </c>
      <c r="K403" s="4">
        <f t="shared" ca="1" si="140"/>
        <v>12594575</v>
      </c>
      <c r="L403" t="str">
        <f t="shared" ca="1" si="141"/>
        <v>Daniel Cruz</v>
      </c>
      <c r="M403" t="str">
        <f t="shared" ca="1" si="142"/>
        <v>Individual</v>
      </c>
      <c r="N403" t="str">
        <f t="shared" ca="1" si="143"/>
        <v>Installment</v>
      </c>
      <c r="O403" s="1">
        <f t="shared" ca="1" si="144"/>
        <v>135</v>
      </c>
      <c r="P403" s="2">
        <f t="shared" ca="1" si="145"/>
        <v>377837.25</v>
      </c>
      <c r="Q403" s="2">
        <f t="shared" ca="1" si="146"/>
        <v>4684942</v>
      </c>
      <c r="R403" s="3">
        <f t="shared" ca="1" si="147"/>
        <v>53366.843220338982</v>
      </c>
      <c r="S403">
        <f t="shared" ca="1" si="148"/>
        <v>236</v>
      </c>
      <c r="T403" s="2">
        <f t="shared" ca="1" si="149"/>
        <v>7909632.4076916082</v>
      </c>
      <c r="U403" s="17">
        <f t="shared" si="152"/>
        <v>2023</v>
      </c>
      <c r="V403" s="20" t="str">
        <f t="shared" si="150"/>
        <v>Jun-2023</v>
      </c>
    </row>
    <row r="404" spans="1:22" x14ac:dyDescent="0.3">
      <c r="A404" t="str">
        <f t="shared" si="151"/>
        <v>TX-00404</v>
      </c>
      <c r="B404" s="6">
        <v>45959</v>
      </c>
      <c r="C404" t="str">
        <f t="shared" ca="1" si="134"/>
        <v>Commercial</v>
      </c>
      <c r="D404" s="1" t="str">
        <f t="shared" ca="1" si="135"/>
        <v>Makati</v>
      </c>
      <c r="E404" s="1">
        <f t="shared" ca="1" si="153"/>
        <v>1</v>
      </c>
      <c r="F404" s="1">
        <f t="shared" ca="1" si="153"/>
        <v>4</v>
      </c>
      <c r="G404">
        <f t="shared" ca="1" si="136"/>
        <v>108</v>
      </c>
      <c r="H404">
        <f t="shared" ca="1" si="137"/>
        <v>94</v>
      </c>
      <c r="I404">
        <f t="shared" ca="1" si="138"/>
        <v>2023</v>
      </c>
      <c r="J404" s="2">
        <f t="shared" ca="1" si="139"/>
        <v>7650404</v>
      </c>
      <c r="K404" s="4">
        <f t="shared" ca="1" si="140"/>
        <v>10840902</v>
      </c>
      <c r="L404" t="str">
        <f t="shared" ca="1" si="141"/>
        <v>Joy Ramos</v>
      </c>
      <c r="M404" t="str">
        <f t="shared" ca="1" si="142"/>
        <v>OFW</v>
      </c>
      <c r="N404" t="str">
        <f t="shared" ca="1" si="143"/>
        <v>Bank Loan</v>
      </c>
      <c r="O404" s="1">
        <f t="shared" ca="1" si="144"/>
        <v>257</v>
      </c>
      <c r="P404" s="2">
        <f t="shared" ca="1" si="145"/>
        <v>325227.06</v>
      </c>
      <c r="Q404" s="2">
        <f t="shared" ca="1" si="146"/>
        <v>3190498</v>
      </c>
      <c r="R404" s="3">
        <f t="shared" ca="1" si="147"/>
        <v>115328.74468085106</v>
      </c>
      <c r="S404">
        <f t="shared" ca="1" si="148"/>
        <v>94</v>
      </c>
      <c r="T404" s="2">
        <f t="shared" ca="1" si="149"/>
        <v>7650403.582963462</v>
      </c>
      <c r="U404" s="17">
        <f t="shared" si="152"/>
        <v>2025</v>
      </c>
      <c r="V404" s="20" t="str">
        <f t="shared" si="150"/>
        <v>Oct-2025</v>
      </c>
    </row>
    <row r="405" spans="1:22" x14ac:dyDescent="0.3">
      <c r="A405" t="str">
        <f t="shared" si="151"/>
        <v>TX-00405</v>
      </c>
      <c r="B405" s="6">
        <v>44511</v>
      </c>
      <c r="C405" t="str">
        <f t="shared" ca="1" si="134"/>
        <v>Condo</v>
      </c>
      <c r="D405" s="1" t="str">
        <f t="shared" ca="1" si="135"/>
        <v>Cavite</v>
      </c>
      <c r="E405" s="1">
        <f t="shared" ca="1" si="153"/>
        <v>2</v>
      </c>
      <c r="F405" s="1">
        <f t="shared" ca="1" si="153"/>
        <v>1</v>
      </c>
      <c r="G405">
        <f t="shared" ca="1" si="136"/>
        <v>94</v>
      </c>
      <c r="H405">
        <f t="shared" ca="1" si="137"/>
        <v>126</v>
      </c>
      <c r="I405">
        <f t="shared" ca="1" si="138"/>
        <v>2023</v>
      </c>
      <c r="J405" s="2">
        <f t="shared" ca="1" si="139"/>
        <v>5780728</v>
      </c>
      <c r="K405" s="4">
        <f t="shared" ca="1" si="140"/>
        <v>4287731</v>
      </c>
      <c r="L405" t="str">
        <f t="shared" ca="1" si="141"/>
        <v>John Dela Cruz</v>
      </c>
      <c r="M405" t="str">
        <f t="shared" ca="1" si="142"/>
        <v>Investor</v>
      </c>
      <c r="N405" t="str">
        <f t="shared" ca="1" si="143"/>
        <v>Pag-IBIG Loan</v>
      </c>
      <c r="O405" s="1">
        <f t="shared" ca="1" si="144"/>
        <v>120</v>
      </c>
      <c r="P405" s="2">
        <f t="shared" ca="1" si="145"/>
        <v>128631.93</v>
      </c>
      <c r="Q405" s="2">
        <f t="shared" ca="1" si="146"/>
        <v>-1492997</v>
      </c>
      <c r="R405" s="3">
        <f t="shared" ca="1" si="147"/>
        <v>45614.159574468082</v>
      </c>
      <c r="S405">
        <f t="shared" ca="1" si="148"/>
        <v>94</v>
      </c>
      <c r="T405" s="2">
        <f t="shared" ca="1" si="149"/>
        <v>5780728.2582714492</v>
      </c>
      <c r="U405" s="17">
        <f t="shared" si="152"/>
        <v>2021</v>
      </c>
      <c r="V405" s="20" t="str">
        <f t="shared" si="150"/>
        <v>Nov-2021</v>
      </c>
    </row>
    <row r="406" spans="1:22" x14ac:dyDescent="0.3">
      <c r="A406" t="str">
        <f t="shared" si="151"/>
        <v>TX-00406</v>
      </c>
      <c r="B406" s="6">
        <v>43435</v>
      </c>
      <c r="C406" t="str">
        <f t="shared" ca="1" si="134"/>
        <v>Land</v>
      </c>
      <c r="D406" s="1" t="str">
        <f t="shared" ca="1" si="135"/>
        <v>Laguna</v>
      </c>
      <c r="E406" s="1">
        <f t="shared" ca="1" si="153"/>
        <v>3</v>
      </c>
      <c r="F406" s="1">
        <f t="shared" ca="1" si="153"/>
        <v>3</v>
      </c>
      <c r="G406">
        <f t="shared" ca="1" si="136"/>
        <v>124</v>
      </c>
      <c r="H406">
        <f t="shared" ca="1" si="137"/>
        <v>223</v>
      </c>
      <c r="I406">
        <f t="shared" ca="1" si="138"/>
        <v>2016</v>
      </c>
      <c r="J406" s="2">
        <f t="shared" ca="1" si="139"/>
        <v>6637654</v>
      </c>
      <c r="K406" s="4">
        <f t="shared" ca="1" si="140"/>
        <v>5851936</v>
      </c>
      <c r="L406" t="str">
        <f t="shared" ca="1" si="141"/>
        <v>Daniel Cruz</v>
      </c>
      <c r="M406" t="str">
        <f t="shared" ca="1" si="142"/>
        <v>Investor</v>
      </c>
      <c r="N406" t="str">
        <f t="shared" ca="1" si="143"/>
        <v>Bank Loan</v>
      </c>
      <c r="O406" s="1">
        <f t="shared" ca="1" si="144"/>
        <v>297</v>
      </c>
      <c r="P406" s="2">
        <f t="shared" ca="1" si="145"/>
        <v>175558.08</v>
      </c>
      <c r="Q406" s="2">
        <f t="shared" ca="1" si="146"/>
        <v>-785718</v>
      </c>
      <c r="R406" s="3">
        <f t="shared" ca="1" si="147"/>
        <v>26241.865470852019</v>
      </c>
      <c r="S406">
        <f t="shared" ca="1" si="148"/>
        <v>223</v>
      </c>
      <c r="T406" s="2">
        <f t="shared" ca="1" si="149"/>
        <v>6637654.1183728464</v>
      </c>
      <c r="U406" s="17">
        <f t="shared" si="152"/>
        <v>2018</v>
      </c>
      <c r="V406" s="20" t="str">
        <f t="shared" si="150"/>
        <v>Dec-2018</v>
      </c>
    </row>
    <row r="407" spans="1:22" x14ac:dyDescent="0.3">
      <c r="A407" t="str">
        <f t="shared" si="151"/>
        <v>TX-00407</v>
      </c>
      <c r="B407" s="6">
        <v>45639</v>
      </c>
      <c r="C407" t="str">
        <f t="shared" ca="1" si="134"/>
        <v>House &amp; Lot</v>
      </c>
      <c r="D407" s="1" t="str">
        <f t="shared" ca="1" si="135"/>
        <v>Laguna</v>
      </c>
      <c r="E407" s="1">
        <f t="shared" ca="1" si="153"/>
        <v>3</v>
      </c>
      <c r="F407" s="1">
        <f t="shared" ca="1" si="153"/>
        <v>3</v>
      </c>
      <c r="G407">
        <f t="shared" ca="1" si="136"/>
        <v>94</v>
      </c>
      <c r="H407">
        <f t="shared" ca="1" si="137"/>
        <v>84</v>
      </c>
      <c r="I407">
        <f t="shared" ca="1" si="138"/>
        <v>2015</v>
      </c>
      <c r="J407" s="2">
        <f t="shared" ca="1" si="139"/>
        <v>5683217</v>
      </c>
      <c r="K407" s="4">
        <f t="shared" ca="1" si="140"/>
        <v>6518113</v>
      </c>
      <c r="L407" t="str">
        <f t="shared" ca="1" si="141"/>
        <v>Joy Ramos</v>
      </c>
      <c r="M407" t="str">
        <f t="shared" ca="1" si="142"/>
        <v>Individual</v>
      </c>
      <c r="N407" t="str">
        <f t="shared" ca="1" si="143"/>
        <v>Pag-IBIG Loan</v>
      </c>
      <c r="O407" s="1">
        <f t="shared" ca="1" si="144"/>
        <v>387</v>
      </c>
      <c r="P407" s="2">
        <f t="shared" ca="1" si="145"/>
        <v>195543.38999999998</v>
      </c>
      <c r="Q407" s="2">
        <f t="shared" ca="1" si="146"/>
        <v>834896</v>
      </c>
      <c r="R407" s="3">
        <f t="shared" ca="1" si="147"/>
        <v>77596.583333333328</v>
      </c>
      <c r="S407">
        <f t="shared" ca="1" si="148"/>
        <v>84</v>
      </c>
      <c r="T407" s="2">
        <f t="shared" ca="1" si="149"/>
        <v>5683216.8530944707</v>
      </c>
      <c r="U407" s="17">
        <f t="shared" si="152"/>
        <v>2024</v>
      </c>
      <c r="V407" s="20" t="str">
        <f t="shared" si="150"/>
        <v>Dec-2024</v>
      </c>
    </row>
    <row r="408" spans="1:22" x14ac:dyDescent="0.3">
      <c r="A408" t="str">
        <f t="shared" si="151"/>
        <v>TX-00408</v>
      </c>
      <c r="B408" s="6">
        <v>44721</v>
      </c>
      <c r="C408" t="str">
        <f t="shared" ca="1" si="134"/>
        <v>Condo</v>
      </c>
      <c r="D408" s="1" t="str">
        <f t="shared" ca="1" si="135"/>
        <v>Cavite</v>
      </c>
      <c r="E408" s="1">
        <f t="shared" ca="1" si="153"/>
        <v>2</v>
      </c>
      <c r="F408" s="1">
        <f t="shared" ca="1" si="153"/>
        <v>1</v>
      </c>
      <c r="G408">
        <f t="shared" ca="1" si="136"/>
        <v>165</v>
      </c>
      <c r="H408">
        <f t="shared" ca="1" si="137"/>
        <v>111</v>
      </c>
      <c r="I408">
        <f t="shared" ca="1" si="138"/>
        <v>2011</v>
      </c>
      <c r="J408" s="2">
        <f t="shared" ca="1" si="139"/>
        <v>11175213</v>
      </c>
      <c r="K408" s="4">
        <f t="shared" ca="1" si="140"/>
        <v>11719955</v>
      </c>
      <c r="L408" t="str">
        <f t="shared" ca="1" si="141"/>
        <v>John Dela Cruz</v>
      </c>
      <c r="M408" t="str">
        <f t="shared" ca="1" si="142"/>
        <v>Individual</v>
      </c>
      <c r="N408" t="str">
        <f t="shared" ca="1" si="143"/>
        <v>Cash</v>
      </c>
      <c r="O408" s="1">
        <f t="shared" ca="1" si="144"/>
        <v>311</v>
      </c>
      <c r="P408" s="2">
        <f t="shared" ca="1" si="145"/>
        <v>351598.64999999997</v>
      </c>
      <c r="Q408" s="2">
        <f t="shared" ca="1" si="146"/>
        <v>544742</v>
      </c>
      <c r="R408" s="3">
        <f t="shared" ca="1" si="147"/>
        <v>71030.030303030304</v>
      </c>
      <c r="S408">
        <f t="shared" ca="1" si="148"/>
        <v>165</v>
      </c>
      <c r="T408" s="2">
        <f t="shared" ca="1" si="149"/>
        <v>11175212.951254442</v>
      </c>
      <c r="U408" s="17">
        <f t="shared" si="152"/>
        <v>2022</v>
      </c>
      <c r="V408" s="20" t="str">
        <f t="shared" si="150"/>
        <v>Jun-2022</v>
      </c>
    </row>
    <row r="409" spans="1:22" x14ac:dyDescent="0.3">
      <c r="A409" t="str">
        <f t="shared" si="151"/>
        <v>TX-00409</v>
      </c>
      <c r="B409" s="6">
        <v>44850</v>
      </c>
      <c r="C409" t="str">
        <f t="shared" ca="1" si="134"/>
        <v>Condo</v>
      </c>
      <c r="D409" s="1" t="str">
        <f t="shared" ca="1" si="135"/>
        <v>Cavite</v>
      </c>
      <c r="E409" s="1">
        <f t="shared" ca="1" si="153"/>
        <v>1</v>
      </c>
      <c r="F409" s="1">
        <f t="shared" ca="1" si="153"/>
        <v>1</v>
      </c>
      <c r="G409">
        <f t="shared" ca="1" si="136"/>
        <v>98</v>
      </c>
      <c r="H409">
        <f t="shared" ca="1" si="137"/>
        <v>221</v>
      </c>
      <c r="I409">
        <f t="shared" ca="1" si="138"/>
        <v>2010</v>
      </c>
      <c r="J409" s="2">
        <f t="shared" ca="1" si="139"/>
        <v>13117659</v>
      </c>
      <c r="K409" s="4">
        <f t="shared" ca="1" si="140"/>
        <v>4597852</v>
      </c>
      <c r="L409" t="str">
        <f t="shared" ca="1" si="141"/>
        <v>Michelle Flores</v>
      </c>
      <c r="M409" t="str">
        <f t="shared" ca="1" si="142"/>
        <v>Corporation</v>
      </c>
      <c r="N409" t="str">
        <f t="shared" ca="1" si="143"/>
        <v>Pag-IBIG Loan</v>
      </c>
      <c r="O409" s="1">
        <f t="shared" ca="1" si="144"/>
        <v>326</v>
      </c>
      <c r="P409" s="2">
        <f t="shared" ca="1" si="145"/>
        <v>137935.56</v>
      </c>
      <c r="Q409" s="2">
        <f t="shared" ca="1" si="146"/>
        <v>-8519807</v>
      </c>
      <c r="R409" s="3">
        <f t="shared" ca="1" si="147"/>
        <v>46916.857142857145</v>
      </c>
      <c r="S409">
        <f t="shared" ca="1" si="148"/>
        <v>98</v>
      </c>
      <c r="T409" s="2">
        <f t="shared" ca="1" si="149"/>
        <v>13117659.649491422</v>
      </c>
      <c r="U409" s="17">
        <f t="shared" si="152"/>
        <v>2022</v>
      </c>
      <c r="V409" s="20" t="str">
        <f t="shared" si="150"/>
        <v>Oct-2022</v>
      </c>
    </row>
    <row r="410" spans="1:22" x14ac:dyDescent="0.3">
      <c r="A410" t="str">
        <f t="shared" si="151"/>
        <v>TX-00410</v>
      </c>
      <c r="B410" s="6">
        <v>45751</v>
      </c>
      <c r="C410" t="str">
        <f t="shared" ca="1" si="134"/>
        <v>Land</v>
      </c>
      <c r="D410" s="1" t="str">
        <f t="shared" ca="1" si="135"/>
        <v>Cavite</v>
      </c>
      <c r="E410" s="1">
        <f t="shared" ca="1" si="153"/>
        <v>4</v>
      </c>
      <c r="F410" s="1">
        <f t="shared" ca="1" si="153"/>
        <v>1</v>
      </c>
      <c r="G410">
        <f t="shared" ca="1" si="136"/>
        <v>160</v>
      </c>
      <c r="H410">
        <f t="shared" ca="1" si="137"/>
        <v>60</v>
      </c>
      <c r="I410">
        <f t="shared" ca="1" si="138"/>
        <v>2016</v>
      </c>
      <c r="J410" s="2">
        <f t="shared" ca="1" si="139"/>
        <v>13443481</v>
      </c>
      <c r="K410" s="4">
        <f t="shared" ca="1" si="140"/>
        <v>12687105</v>
      </c>
      <c r="L410" t="str">
        <f t="shared" ca="1" si="141"/>
        <v>Daniel Cruz</v>
      </c>
      <c r="M410" t="str">
        <f t="shared" ca="1" si="142"/>
        <v>Investor</v>
      </c>
      <c r="N410" t="str">
        <f t="shared" ca="1" si="143"/>
        <v>Bank Loan</v>
      </c>
      <c r="O410" s="1">
        <f t="shared" ca="1" si="144"/>
        <v>347</v>
      </c>
      <c r="P410" s="2">
        <f t="shared" ca="1" si="145"/>
        <v>380613.14999999997</v>
      </c>
      <c r="Q410" s="2">
        <f t="shared" ca="1" si="146"/>
        <v>-756376</v>
      </c>
      <c r="R410" s="3">
        <f t="shared" ca="1" si="147"/>
        <v>211451.75</v>
      </c>
      <c r="S410">
        <f t="shared" ca="1" si="148"/>
        <v>60</v>
      </c>
      <c r="T410" s="2">
        <f t="shared" ca="1" si="149"/>
        <v>13443481.056263404</v>
      </c>
      <c r="U410" s="17">
        <f t="shared" si="152"/>
        <v>2025</v>
      </c>
      <c r="V410" s="20" t="str">
        <f t="shared" si="150"/>
        <v>Apr-2025</v>
      </c>
    </row>
    <row r="411" spans="1:22" x14ac:dyDescent="0.3">
      <c r="A411" t="str">
        <f t="shared" si="151"/>
        <v>TX-00411</v>
      </c>
      <c r="B411" s="6">
        <v>43305</v>
      </c>
      <c r="C411" t="str">
        <f t="shared" ca="1" si="134"/>
        <v>Land</v>
      </c>
      <c r="D411" s="1" t="str">
        <f t="shared" ca="1" si="135"/>
        <v>Cavite</v>
      </c>
      <c r="E411" s="1">
        <f t="shared" ca="1" si="153"/>
        <v>3</v>
      </c>
      <c r="F411" s="1">
        <f t="shared" ca="1" si="153"/>
        <v>3</v>
      </c>
      <c r="G411">
        <f t="shared" ca="1" si="136"/>
        <v>173</v>
      </c>
      <c r="H411">
        <f t="shared" ca="1" si="137"/>
        <v>217</v>
      </c>
      <c r="I411">
        <f t="shared" ca="1" si="138"/>
        <v>2021</v>
      </c>
      <c r="J411" s="2">
        <f t="shared" ca="1" si="139"/>
        <v>9494349</v>
      </c>
      <c r="K411" s="4">
        <f t="shared" ca="1" si="140"/>
        <v>6946216</v>
      </c>
      <c r="L411" t="str">
        <f t="shared" ca="1" si="141"/>
        <v>Joy Ramos</v>
      </c>
      <c r="M411" t="str">
        <f t="shared" ca="1" si="142"/>
        <v>Corporation</v>
      </c>
      <c r="N411" t="str">
        <f t="shared" ca="1" si="143"/>
        <v>Installment</v>
      </c>
      <c r="O411" s="1">
        <f t="shared" ca="1" si="144"/>
        <v>133</v>
      </c>
      <c r="P411" s="2">
        <f t="shared" ca="1" si="145"/>
        <v>208386.47999999998</v>
      </c>
      <c r="Q411" s="2">
        <f t="shared" ca="1" si="146"/>
        <v>-2548133</v>
      </c>
      <c r="R411" s="3">
        <f t="shared" ca="1" si="147"/>
        <v>32010.211981566819</v>
      </c>
      <c r="S411">
        <f t="shared" ca="1" si="148"/>
        <v>217</v>
      </c>
      <c r="T411" s="2">
        <f t="shared" ca="1" si="149"/>
        <v>9494349.2683841716</v>
      </c>
      <c r="U411" s="17">
        <f t="shared" si="152"/>
        <v>2018</v>
      </c>
      <c r="V411" s="20" t="str">
        <f t="shared" si="150"/>
        <v>Jul-2018</v>
      </c>
    </row>
    <row r="412" spans="1:22" x14ac:dyDescent="0.3">
      <c r="A412" t="str">
        <f t="shared" si="151"/>
        <v>TX-00412</v>
      </c>
      <c r="B412" s="6">
        <v>43964</v>
      </c>
      <c r="C412" t="str">
        <f t="shared" ca="1" si="134"/>
        <v>House &amp; Lot</v>
      </c>
      <c r="D412" s="1" t="str">
        <f t="shared" ca="1" si="135"/>
        <v>Laguna</v>
      </c>
      <c r="E412" s="1">
        <f t="shared" ca="1" si="153"/>
        <v>1</v>
      </c>
      <c r="F412" s="1">
        <f t="shared" ca="1" si="153"/>
        <v>2</v>
      </c>
      <c r="G412">
        <f t="shared" ca="1" si="136"/>
        <v>74</v>
      </c>
      <c r="H412">
        <f t="shared" ca="1" si="137"/>
        <v>101</v>
      </c>
      <c r="I412">
        <f t="shared" ca="1" si="138"/>
        <v>2022</v>
      </c>
      <c r="J412" s="2">
        <f t="shared" ca="1" si="139"/>
        <v>5085862</v>
      </c>
      <c r="K412" s="4">
        <f t="shared" ca="1" si="140"/>
        <v>6047199</v>
      </c>
      <c r="L412" t="str">
        <f t="shared" ca="1" si="141"/>
        <v>Joy Ramos</v>
      </c>
      <c r="M412" t="str">
        <f t="shared" ca="1" si="142"/>
        <v>OFW</v>
      </c>
      <c r="N412" t="str">
        <f t="shared" ca="1" si="143"/>
        <v>Pag-IBIG Loan</v>
      </c>
      <c r="O412" s="1">
        <f t="shared" ca="1" si="144"/>
        <v>174</v>
      </c>
      <c r="P412" s="2">
        <f t="shared" ca="1" si="145"/>
        <v>181415.97</v>
      </c>
      <c r="Q412" s="2">
        <f t="shared" ca="1" si="146"/>
        <v>961337</v>
      </c>
      <c r="R412" s="3">
        <f t="shared" ca="1" si="147"/>
        <v>59873.257425742573</v>
      </c>
      <c r="S412">
        <f t="shared" ca="1" si="148"/>
        <v>101</v>
      </c>
      <c r="T412" s="2">
        <f t="shared" ca="1" si="149"/>
        <v>5085861.8109785523</v>
      </c>
      <c r="U412" s="17">
        <f t="shared" si="152"/>
        <v>2020</v>
      </c>
      <c r="V412" s="20" t="str">
        <f t="shared" si="150"/>
        <v>May-2020</v>
      </c>
    </row>
    <row r="413" spans="1:22" x14ac:dyDescent="0.3">
      <c r="A413" t="str">
        <f t="shared" si="151"/>
        <v>TX-00413</v>
      </c>
      <c r="B413" s="6">
        <v>44752</v>
      </c>
      <c r="C413" t="str">
        <f t="shared" ca="1" si="134"/>
        <v>Condo</v>
      </c>
      <c r="D413" s="1" t="str">
        <f t="shared" ca="1" si="135"/>
        <v>Laguna</v>
      </c>
      <c r="E413" s="1">
        <f t="shared" ca="1" si="153"/>
        <v>2</v>
      </c>
      <c r="F413" s="1">
        <f t="shared" ca="1" si="153"/>
        <v>3</v>
      </c>
      <c r="G413">
        <f t="shared" ca="1" si="136"/>
        <v>62</v>
      </c>
      <c r="H413">
        <f t="shared" ca="1" si="137"/>
        <v>170</v>
      </c>
      <c r="I413">
        <f t="shared" ca="1" si="138"/>
        <v>2023</v>
      </c>
      <c r="J413" s="2">
        <f t="shared" ca="1" si="139"/>
        <v>5632681</v>
      </c>
      <c r="K413" s="4">
        <f t="shared" ca="1" si="140"/>
        <v>7364524</v>
      </c>
      <c r="L413" t="str">
        <f t="shared" ca="1" si="141"/>
        <v>Michelle Flores</v>
      </c>
      <c r="M413" t="str">
        <f t="shared" ca="1" si="142"/>
        <v>Investor</v>
      </c>
      <c r="N413" t="str">
        <f t="shared" ca="1" si="143"/>
        <v>Cash</v>
      </c>
      <c r="O413" s="1">
        <f t="shared" ca="1" si="144"/>
        <v>390</v>
      </c>
      <c r="P413" s="2">
        <f t="shared" ca="1" si="145"/>
        <v>220935.72</v>
      </c>
      <c r="Q413" s="2">
        <f t="shared" ca="1" si="146"/>
        <v>1731843</v>
      </c>
      <c r="R413" s="3">
        <f t="shared" ca="1" si="147"/>
        <v>118782.64516129032</v>
      </c>
      <c r="S413">
        <f t="shared" ca="1" si="148"/>
        <v>62</v>
      </c>
      <c r="T413" s="2">
        <f t="shared" ca="1" si="149"/>
        <v>5632680.6925366446</v>
      </c>
      <c r="U413" s="17">
        <f t="shared" si="152"/>
        <v>2022</v>
      </c>
      <c r="V413" s="20" t="str">
        <f t="shared" si="150"/>
        <v>Jul-2022</v>
      </c>
    </row>
    <row r="414" spans="1:22" x14ac:dyDescent="0.3">
      <c r="A414" t="str">
        <f t="shared" si="151"/>
        <v>TX-00414</v>
      </c>
      <c r="B414" s="6">
        <v>44424</v>
      </c>
      <c r="C414" t="str">
        <f t="shared" ca="1" si="134"/>
        <v>Land</v>
      </c>
      <c r="D414" s="1" t="str">
        <f t="shared" ca="1" si="135"/>
        <v>Cavite</v>
      </c>
      <c r="E414" s="1">
        <f t="shared" ca="1" si="153"/>
        <v>3</v>
      </c>
      <c r="F414" s="1">
        <f t="shared" ca="1" si="153"/>
        <v>2</v>
      </c>
      <c r="G414">
        <f t="shared" ca="1" si="136"/>
        <v>121</v>
      </c>
      <c r="H414">
        <f t="shared" ca="1" si="137"/>
        <v>149</v>
      </c>
      <c r="I414">
        <f t="shared" ca="1" si="138"/>
        <v>2010</v>
      </c>
      <c r="J414" s="2">
        <f t="shared" ca="1" si="139"/>
        <v>10499229</v>
      </c>
      <c r="K414" s="4">
        <f t="shared" ca="1" si="140"/>
        <v>9911700</v>
      </c>
      <c r="L414" t="str">
        <f t="shared" ca="1" si="141"/>
        <v>Rachel Villanueva</v>
      </c>
      <c r="M414" t="str">
        <f t="shared" ca="1" si="142"/>
        <v>Corporation</v>
      </c>
      <c r="N414" t="str">
        <f t="shared" ca="1" si="143"/>
        <v>Bank Loan</v>
      </c>
      <c r="O414" s="1">
        <f t="shared" ca="1" si="144"/>
        <v>209</v>
      </c>
      <c r="P414" s="2">
        <f t="shared" ca="1" si="145"/>
        <v>297351</v>
      </c>
      <c r="Q414" s="2">
        <f t="shared" ca="1" si="146"/>
        <v>-587529</v>
      </c>
      <c r="R414" s="3">
        <f t="shared" ca="1" si="147"/>
        <v>66521.476510067121</v>
      </c>
      <c r="S414">
        <f t="shared" ca="1" si="148"/>
        <v>149</v>
      </c>
      <c r="T414" s="2">
        <f t="shared" ca="1" si="149"/>
        <v>10499229.055959253</v>
      </c>
      <c r="U414" s="17">
        <f t="shared" si="152"/>
        <v>2021</v>
      </c>
      <c r="V414" s="20" t="str">
        <f t="shared" si="150"/>
        <v>Aug-2021</v>
      </c>
    </row>
    <row r="415" spans="1:22" x14ac:dyDescent="0.3">
      <c r="A415" t="str">
        <f t="shared" si="151"/>
        <v>TX-00415</v>
      </c>
      <c r="B415" s="6">
        <v>44731</v>
      </c>
      <c r="C415" t="str">
        <f t="shared" ca="1" si="134"/>
        <v>Commercial</v>
      </c>
      <c r="D415" s="1" t="str">
        <f t="shared" ca="1" si="135"/>
        <v>Bulacan</v>
      </c>
      <c r="E415" s="1">
        <f t="shared" ca="1" si="153"/>
        <v>3</v>
      </c>
      <c r="F415" s="1">
        <f t="shared" ca="1" si="153"/>
        <v>1</v>
      </c>
      <c r="G415">
        <f t="shared" ca="1" si="136"/>
        <v>104</v>
      </c>
      <c r="H415">
        <f t="shared" ca="1" si="137"/>
        <v>100</v>
      </c>
      <c r="I415">
        <f t="shared" ca="1" si="138"/>
        <v>2022</v>
      </c>
      <c r="J415" s="2">
        <f t="shared" ca="1" si="139"/>
        <v>6371965</v>
      </c>
      <c r="K415" s="4">
        <f t="shared" ca="1" si="140"/>
        <v>4891298</v>
      </c>
      <c r="L415" t="str">
        <f t="shared" ca="1" si="141"/>
        <v>John Dela Cruz</v>
      </c>
      <c r="M415" t="str">
        <f t="shared" ca="1" si="142"/>
        <v>Individual</v>
      </c>
      <c r="N415" t="str">
        <f t="shared" ca="1" si="143"/>
        <v>Bank Loan</v>
      </c>
      <c r="O415" s="1">
        <f t="shared" ca="1" si="144"/>
        <v>203</v>
      </c>
      <c r="P415" s="2">
        <f t="shared" ca="1" si="145"/>
        <v>146738.94</v>
      </c>
      <c r="Q415" s="2">
        <f t="shared" ca="1" si="146"/>
        <v>-1480667</v>
      </c>
      <c r="R415" s="3">
        <f t="shared" ca="1" si="147"/>
        <v>48912.98</v>
      </c>
      <c r="S415">
        <f t="shared" ca="1" si="148"/>
        <v>100</v>
      </c>
      <c r="T415" s="2">
        <f t="shared" ca="1" si="149"/>
        <v>6371965.2323721172</v>
      </c>
      <c r="U415" s="17">
        <f t="shared" si="152"/>
        <v>2022</v>
      </c>
      <c r="V415" s="20" t="str">
        <f t="shared" si="150"/>
        <v>Jun-2022</v>
      </c>
    </row>
    <row r="416" spans="1:22" x14ac:dyDescent="0.3">
      <c r="A416" t="str">
        <f t="shared" si="151"/>
        <v>TX-00416</v>
      </c>
      <c r="B416" s="6">
        <v>43737</v>
      </c>
      <c r="C416" t="str">
        <f t="shared" ca="1" si="134"/>
        <v>Condo</v>
      </c>
      <c r="D416" s="1" t="str">
        <f t="shared" ca="1" si="135"/>
        <v>Bulacan</v>
      </c>
      <c r="E416" s="1">
        <f t="shared" ca="1" si="153"/>
        <v>1</v>
      </c>
      <c r="F416" s="1">
        <f t="shared" ca="1" si="153"/>
        <v>3</v>
      </c>
      <c r="G416">
        <f t="shared" ca="1" si="136"/>
        <v>103</v>
      </c>
      <c r="H416">
        <f t="shared" ca="1" si="137"/>
        <v>209</v>
      </c>
      <c r="I416">
        <f t="shared" ca="1" si="138"/>
        <v>2013</v>
      </c>
      <c r="J416" s="2">
        <f t="shared" ca="1" si="139"/>
        <v>13131180</v>
      </c>
      <c r="K416" s="4">
        <f t="shared" ca="1" si="140"/>
        <v>12926592</v>
      </c>
      <c r="L416" t="str">
        <f t="shared" ca="1" si="141"/>
        <v>Michael Santos</v>
      </c>
      <c r="M416" t="str">
        <f t="shared" ca="1" si="142"/>
        <v>OFW</v>
      </c>
      <c r="N416" t="str">
        <f t="shared" ca="1" si="143"/>
        <v>Installment</v>
      </c>
      <c r="O416" s="1">
        <f t="shared" ca="1" si="144"/>
        <v>258</v>
      </c>
      <c r="P416" s="2">
        <f t="shared" ca="1" si="145"/>
        <v>387797.76000000001</v>
      </c>
      <c r="Q416" s="2">
        <f t="shared" ca="1" si="146"/>
        <v>-204588</v>
      </c>
      <c r="R416" s="3">
        <f t="shared" ca="1" si="147"/>
        <v>125500.89320388349</v>
      </c>
      <c r="S416">
        <f t="shared" ca="1" si="148"/>
        <v>103</v>
      </c>
      <c r="T416" s="2">
        <f t="shared" ca="1" si="149"/>
        <v>13131180.015580321</v>
      </c>
      <c r="U416" s="17">
        <f t="shared" si="152"/>
        <v>2019</v>
      </c>
      <c r="V416" s="20" t="str">
        <f t="shared" si="150"/>
        <v>Sep-2019</v>
      </c>
    </row>
    <row r="417" spans="1:22" x14ac:dyDescent="0.3">
      <c r="A417" t="str">
        <f t="shared" si="151"/>
        <v>TX-00417</v>
      </c>
      <c r="B417" s="6">
        <v>43719</v>
      </c>
      <c r="C417" t="str">
        <f t="shared" ca="1" si="134"/>
        <v>Land</v>
      </c>
      <c r="D417" s="1" t="str">
        <f t="shared" ca="1" si="135"/>
        <v>Bulacan</v>
      </c>
      <c r="E417" s="1">
        <f t="shared" ca="1" si="153"/>
        <v>1</v>
      </c>
      <c r="F417" s="1">
        <f t="shared" ca="1" si="153"/>
        <v>2</v>
      </c>
      <c r="G417">
        <f t="shared" ca="1" si="136"/>
        <v>179</v>
      </c>
      <c r="H417">
        <f t="shared" ca="1" si="137"/>
        <v>209</v>
      </c>
      <c r="I417">
        <f t="shared" ca="1" si="138"/>
        <v>2014</v>
      </c>
      <c r="J417" s="2">
        <f t="shared" ca="1" si="139"/>
        <v>7400683</v>
      </c>
      <c r="K417" s="4">
        <f t="shared" ca="1" si="140"/>
        <v>6619055</v>
      </c>
      <c r="L417" t="str">
        <f t="shared" ca="1" si="141"/>
        <v>Michelle Flores</v>
      </c>
      <c r="M417" t="str">
        <f t="shared" ca="1" si="142"/>
        <v>OFW</v>
      </c>
      <c r="N417" t="str">
        <f t="shared" ca="1" si="143"/>
        <v>Cash</v>
      </c>
      <c r="O417" s="1">
        <f t="shared" ca="1" si="144"/>
        <v>282</v>
      </c>
      <c r="P417" s="2">
        <f t="shared" ca="1" si="145"/>
        <v>198571.65</v>
      </c>
      <c r="Q417" s="2">
        <f t="shared" ca="1" si="146"/>
        <v>-781628</v>
      </c>
      <c r="R417" s="3">
        <f t="shared" ca="1" si="147"/>
        <v>31670.119617224882</v>
      </c>
      <c r="S417">
        <f t="shared" ca="1" si="148"/>
        <v>209</v>
      </c>
      <c r="T417" s="2">
        <f t="shared" ca="1" si="149"/>
        <v>7400683.1056156578</v>
      </c>
      <c r="U417" s="17">
        <f t="shared" si="152"/>
        <v>2019</v>
      </c>
      <c r="V417" s="20" t="str">
        <f t="shared" si="150"/>
        <v>Sep-2019</v>
      </c>
    </row>
    <row r="418" spans="1:22" x14ac:dyDescent="0.3">
      <c r="A418" t="str">
        <f t="shared" si="151"/>
        <v>TX-00418</v>
      </c>
      <c r="B418" s="6">
        <v>45028</v>
      </c>
      <c r="C418" t="str">
        <f t="shared" ca="1" si="134"/>
        <v>Condo</v>
      </c>
      <c r="D418" s="1" t="str">
        <f t="shared" ca="1" si="135"/>
        <v>Bulacan</v>
      </c>
      <c r="E418" s="1">
        <f t="shared" ca="1" si="153"/>
        <v>1</v>
      </c>
      <c r="F418" s="1">
        <f t="shared" ca="1" si="153"/>
        <v>4</v>
      </c>
      <c r="G418">
        <f t="shared" ca="1" si="136"/>
        <v>57</v>
      </c>
      <c r="H418">
        <f t="shared" ca="1" si="137"/>
        <v>133</v>
      </c>
      <c r="I418">
        <f t="shared" ca="1" si="138"/>
        <v>2016</v>
      </c>
      <c r="J418" s="2">
        <f t="shared" ca="1" si="139"/>
        <v>13112977</v>
      </c>
      <c r="K418" s="4">
        <f t="shared" ca="1" si="140"/>
        <v>3412971</v>
      </c>
      <c r="L418" t="str">
        <f t="shared" ca="1" si="141"/>
        <v>Rachel Villanueva</v>
      </c>
      <c r="M418" t="str">
        <f t="shared" ca="1" si="142"/>
        <v>Corporation</v>
      </c>
      <c r="N418" t="str">
        <f t="shared" ca="1" si="143"/>
        <v>Pag-IBIG Loan</v>
      </c>
      <c r="O418" s="1">
        <f t="shared" ca="1" si="144"/>
        <v>164</v>
      </c>
      <c r="P418" s="2">
        <f t="shared" ca="1" si="145"/>
        <v>102389.12999999999</v>
      </c>
      <c r="Q418" s="2">
        <f t="shared" ca="1" si="146"/>
        <v>-9700006</v>
      </c>
      <c r="R418" s="3">
        <f t="shared" ca="1" si="147"/>
        <v>59876.684210526313</v>
      </c>
      <c r="S418">
        <f t="shared" ca="1" si="148"/>
        <v>57</v>
      </c>
      <c r="T418" s="2">
        <f t="shared" ca="1" si="149"/>
        <v>13112977.739725692</v>
      </c>
      <c r="U418" s="17">
        <f t="shared" si="152"/>
        <v>2023</v>
      </c>
      <c r="V418" s="20" t="str">
        <f t="shared" si="150"/>
        <v>Apr-2023</v>
      </c>
    </row>
    <row r="419" spans="1:22" x14ac:dyDescent="0.3">
      <c r="A419" t="str">
        <f t="shared" si="151"/>
        <v>TX-00419</v>
      </c>
      <c r="B419" s="6">
        <v>44021</v>
      </c>
      <c r="C419" t="str">
        <f t="shared" ca="1" si="134"/>
        <v>House &amp; Lot</v>
      </c>
      <c r="D419" s="1" t="str">
        <f t="shared" ca="1" si="135"/>
        <v>Makati</v>
      </c>
      <c r="E419" s="1">
        <f t="shared" ca="1" si="153"/>
        <v>1</v>
      </c>
      <c r="F419" s="1">
        <f t="shared" ca="1" si="153"/>
        <v>3</v>
      </c>
      <c r="G419">
        <f t="shared" ca="1" si="136"/>
        <v>98</v>
      </c>
      <c r="H419">
        <f t="shared" ca="1" si="137"/>
        <v>59</v>
      </c>
      <c r="I419">
        <f t="shared" ca="1" si="138"/>
        <v>2016</v>
      </c>
      <c r="J419" s="2">
        <f t="shared" ca="1" si="139"/>
        <v>5958752</v>
      </c>
      <c r="K419" s="4">
        <f t="shared" ca="1" si="140"/>
        <v>9247439</v>
      </c>
      <c r="L419" t="str">
        <f t="shared" ca="1" si="141"/>
        <v>Michelle Flores</v>
      </c>
      <c r="M419" t="str">
        <f t="shared" ca="1" si="142"/>
        <v>OFW</v>
      </c>
      <c r="N419" t="str">
        <f t="shared" ca="1" si="143"/>
        <v>Cash</v>
      </c>
      <c r="O419" s="1">
        <f t="shared" ca="1" si="144"/>
        <v>310</v>
      </c>
      <c r="P419" s="2">
        <f t="shared" ca="1" si="145"/>
        <v>277423.17</v>
      </c>
      <c r="Q419" s="2">
        <f t="shared" ca="1" si="146"/>
        <v>3288687</v>
      </c>
      <c r="R419" s="3">
        <f t="shared" ca="1" si="147"/>
        <v>156736.25423728814</v>
      </c>
      <c r="S419">
        <f t="shared" ca="1" si="148"/>
        <v>59</v>
      </c>
      <c r="T419" s="2">
        <f t="shared" ca="1" si="149"/>
        <v>5958751.4480913114</v>
      </c>
      <c r="U419" s="17">
        <f t="shared" si="152"/>
        <v>2020</v>
      </c>
      <c r="V419" s="20" t="str">
        <f t="shared" si="150"/>
        <v>Jul-2020</v>
      </c>
    </row>
    <row r="420" spans="1:22" x14ac:dyDescent="0.3">
      <c r="A420" t="str">
        <f t="shared" si="151"/>
        <v>TX-00420</v>
      </c>
      <c r="B420" s="6">
        <v>43342</v>
      </c>
      <c r="C420" t="str">
        <f t="shared" ca="1" si="134"/>
        <v>Land</v>
      </c>
      <c r="D420" s="1" t="str">
        <f t="shared" ca="1" si="135"/>
        <v>Laguna</v>
      </c>
      <c r="E420" s="1">
        <f t="shared" ca="1" si="153"/>
        <v>4</v>
      </c>
      <c r="F420" s="1">
        <f t="shared" ca="1" si="153"/>
        <v>1</v>
      </c>
      <c r="G420">
        <f t="shared" ca="1" si="136"/>
        <v>116</v>
      </c>
      <c r="H420">
        <f t="shared" ca="1" si="137"/>
        <v>59</v>
      </c>
      <c r="I420">
        <f t="shared" ca="1" si="138"/>
        <v>2018</v>
      </c>
      <c r="J420" s="2">
        <f t="shared" ca="1" si="139"/>
        <v>9243029</v>
      </c>
      <c r="K420" s="4">
        <f t="shared" ca="1" si="140"/>
        <v>4871796</v>
      </c>
      <c r="L420" t="str">
        <f t="shared" ca="1" si="141"/>
        <v>Michael Santos</v>
      </c>
      <c r="M420" t="str">
        <f t="shared" ca="1" si="142"/>
        <v>Individual</v>
      </c>
      <c r="N420" t="str">
        <f t="shared" ca="1" si="143"/>
        <v>Cash</v>
      </c>
      <c r="O420" s="1">
        <f t="shared" ca="1" si="144"/>
        <v>373</v>
      </c>
      <c r="P420" s="2">
        <f t="shared" ca="1" si="145"/>
        <v>146153.88</v>
      </c>
      <c r="Q420" s="2">
        <f t="shared" ca="1" si="146"/>
        <v>-4371233</v>
      </c>
      <c r="R420" s="3">
        <f t="shared" ca="1" si="147"/>
        <v>82572.813559322036</v>
      </c>
      <c r="S420">
        <f t="shared" ca="1" si="148"/>
        <v>59</v>
      </c>
      <c r="T420" s="2">
        <f t="shared" ca="1" si="149"/>
        <v>9243029.4729221333</v>
      </c>
      <c r="U420" s="17">
        <f t="shared" si="152"/>
        <v>2018</v>
      </c>
      <c r="V420" s="20" t="str">
        <f t="shared" si="150"/>
        <v>Aug-2018</v>
      </c>
    </row>
    <row r="421" spans="1:22" x14ac:dyDescent="0.3">
      <c r="A421" t="str">
        <f t="shared" si="151"/>
        <v>TX-00421</v>
      </c>
      <c r="B421" s="6">
        <v>45479</v>
      </c>
      <c r="C421" t="str">
        <f t="shared" ca="1" si="134"/>
        <v>House &amp; Lot</v>
      </c>
      <c r="D421" s="1" t="str">
        <f t="shared" ca="1" si="135"/>
        <v>Makati</v>
      </c>
      <c r="E421" s="1">
        <f t="shared" ca="1" si="153"/>
        <v>4</v>
      </c>
      <c r="F421" s="1">
        <f t="shared" ca="1" si="153"/>
        <v>1</v>
      </c>
      <c r="G421">
        <f t="shared" ca="1" si="136"/>
        <v>82</v>
      </c>
      <c r="H421">
        <f t="shared" ca="1" si="137"/>
        <v>53</v>
      </c>
      <c r="I421">
        <f t="shared" ca="1" si="138"/>
        <v>2020</v>
      </c>
      <c r="J421" s="2">
        <f t="shared" ca="1" si="139"/>
        <v>7406992</v>
      </c>
      <c r="K421" s="4">
        <f t="shared" ca="1" si="140"/>
        <v>9236076</v>
      </c>
      <c r="L421" t="str">
        <f t="shared" ca="1" si="141"/>
        <v>Mark Reyes</v>
      </c>
      <c r="M421" t="str">
        <f t="shared" ca="1" si="142"/>
        <v>OFW</v>
      </c>
      <c r="N421" t="str">
        <f t="shared" ca="1" si="143"/>
        <v>Pag-IBIG Loan</v>
      </c>
      <c r="O421" s="1">
        <f t="shared" ca="1" si="144"/>
        <v>242</v>
      </c>
      <c r="P421" s="2">
        <f t="shared" ca="1" si="145"/>
        <v>277082.27999999997</v>
      </c>
      <c r="Q421" s="2">
        <f t="shared" ca="1" si="146"/>
        <v>1829084</v>
      </c>
      <c r="R421" s="3">
        <f t="shared" ca="1" si="147"/>
        <v>174265.58490566039</v>
      </c>
      <c r="S421">
        <f t="shared" ca="1" si="148"/>
        <v>53</v>
      </c>
      <c r="T421" s="2">
        <f t="shared" ca="1" si="149"/>
        <v>7406991.7530598119</v>
      </c>
      <c r="U421" s="17">
        <f t="shared" si="152"/>
        <v>2024</v>
      </c>
      <c r="V421" s="20" t="str">
        <f t="shared" si="150"/>
        <v>Jul-2024</v>
      </c>
    </row>
    <row r="422" spans="1:22" x14ac:dyDescent="0.3">
      <c r="A422" t="str">
        <f t="shared" si="151"/>
        <v>TX-00422</v>
      </c>
      <c r="B422" s="6">
        <v>45862</v>
      </c>
      <c r="C422" t="str">
        <f t="shared" ca="1" si="134"/>
        <v>Land</v>
      </c>
      <c r="D422" s="1" t="str">
        <f t="shared" ca="1" si="135"/>
        <v>Bulacan</v>
      </c>
      <c r="E422" s="1">
        <f t="shared" ref="E422:F441" ca="1" si="154">RANDBETWEEN(1,4)</f>
        <v>2</v>
      </c>
      <c r="F422" s="1">
        <f t="shared" ca="1" si="154"/>
        <v>3</v>
      </c>
      <c r="G422">
        <f t="shared" ca="1" si="136"/>
        <v>65</v>
      </c>
      <c r="H422">
        <f t="shared" ca="1" si="137"/>
        <v>173</v>
      </c>
      <c r="I422">
        <f t="shared" ca="1" si="138"/>
        <v>2010</v>
      </c>
      <c r="J422" s="2">
        <f t="shared" ca="1" si="139"/>
        <v>10624664</v>
      </c>
      <c r="K422" s="4">
        <f t="shared" ca="1" si="140"/>
        <v>7394045</v>
      </c>
      <c r="L422" t="str">
        <f t="shared" ca="1" si="141"/>
        <v>Michelle Flores</v>
      </c>
      <c r="M422" t="str">
        <f t="shared" ca="1" si="142"/>
        <v>OFW</v>
      </c>
      <c r="N422" t="str">
        <f t="shared" ca="1" si="143"/>
        <v>Bank Loan</v>
      </c>
      <c r="O422" s="1">
        <f t="shared" ca="1" si="144"/>
        <v>356</v>
      </c>
      <c r="P422" s="2">
        <f t="shared" ca="1" si="145"/>
        <v>221821.35</v>
      </c>
      <c r="Q422" s="2">
        <f t="shared" ca="1" si="146"/>
        <v>-3230619</v>
      </c>
      <c r="R422" s="3">
        <f t="shared" ca="1" si="147"/>
        <v>42740.144508670521</v>
      </c>
      <c r="S422">
        <f t="shared" ca="1" si="148"/>
        <v>173</v>
      </c>
      <c r="T422" s="2">
        <f t="shared" ca="1" si="149"/>
        <v>10624664.304067874</v>
      </c>
      <c r="U422" s="17">
        <f t="shared" si="152"/>
        <v>2025</v>
      </c>
      <c r="V422" s="20" t="str">
        <f t="shared" si="150"/>
        <v>Jul-2025</v>
      </c>
    </row>
    <row r="423" spans="1:22" x14ac:dyDescent="0.3">
      <c r="A423" t="str">
        <f t="shared" si="151"/>
        <v>TX-00423</v>
      </c>
      <c r="B423" s="6">
        <v>45756</v>
      </c>
      <c r="C423" t="str">
        <f t="shared" ca="1" si="134"/>
        <v>House &amp; Lot</v>
      </c>
      <c r="D423" s="1" t="str">
        <f t="shared" ca="1" si="135"/>
        <v>Cavite</v>
      </c>
      <c r="E423" s="1">
        <f t="shared" ca="1" si="154"/>
        <v>2</v>
      </c>
      <c r="F423" s="1">
        <f t="shared" ca="1" si="154"/>
        <v>4</v>
      </c>
      <c r="G423">
        <f t="shared" ca="1" si="136"/>
        <v>183</v>
      </c>
      <c r="H423">
        <f t="shared" ca="1" si="137"/>
        <v>66</v>
      </c>
      <c r="I423">
        <f t="shared" ca="1" si="138"/>
        <v>2018</v>
      </c>
      <c r="J423" s="2">
        <f t="shared" ca="1" si="139"/>
        <v>13098540</v>
      </c>
      <c r="K423" s="4">
        <f t="shared" ca="1" si="140"/>
        <v>10038175</v>
      </c>
      <c r="L423" t="str">
        <f t="shared" ca="1" si="141"/>
        <v>Mary Garcia</v>
      </c>
      <c r="M423" t="str">
        <f t="shared" ca="1" si="142"/>
        <v>Investor</v>
      </c>
      <c r="N423" t="str">
        <f t="shared" ca="1" si="143"/>
        <v>Installment</v>
      </c>
      <c r="O423" s="1">
        <f t="shared" ca="1" si="144"/>
        <v>223</v>
      </c>
      <c r="P423" s="2">
        <f t="shared" ca="1" si="145"/>
        <v>301145.25</v>
      </c>
      <c r="Q423" s="2">
        <f t="shared" ca="1" si="146"/>
        <v>-3060365</v>
      </c>
      <c r="R423" s="3">
        <f t="shared" ca="1" si="147"/>
        <v>152093.56060606061</v>
      </c>
      <c r="S423">
        <f t="shared" ca="1" si="148"/>
        <v>66</v>
      </c>
      <c r="T423" s="2">
        <f t="shared" ca="1" si="149"/>
        <v>13098540.233641688</v>
      </c>
      <c r="U423" s="17">
        <f t="shared" si="152"/>
        <v>2025</v>
      </c>
      <c r="V423" s="20" t="str">
        <f t="shared" si="150"/>
        <v>Apr-2025</v>
      </c>
    </row>
    <row r="424" spans="1:22" x14ac:dyDescent="0.3">
      <c r="A424" t="str">
        <f t="shared" si="151"/>
        <v>TX-00424</v>
      </c>
      <c r="B424" s="6">
        <v>43768</v>
      </c>
      <c r="C424" t="str">
        <f t="shared" ca="1" si="134"/>
        <v>Land</v>
      </c>
      <c r="D424" s="1" t="str">
        <f t="shared" ca="1" si="135"/>
        <v>Makati</v>
      </c>
      <c r="E424" s="1">
        <f t="shared" ca="1" si="154"/>
        <v>4</v>
      </c>
      <c r="F424" s="1">
        <f t="shared" ca="1" si="154"/>
        <v>4</v>
      </c>
      <c r="G424">
        <f t="shared" ca="1" si="136"/>
        <v>115</v>
      </c>
      <c r="H424">
        <f t="shared" ca="1" si="137"/>
        <v>60</v>
      </c>
      <c r="I424">
        <f t="shared" ca="1" si="138"/>
        <v>2016</v>
      </c>
      <c r="J424" s="2">
        <f t="shared" ca="1" si="139"/>
        <v>7113683</v>
      </c>
      <c r="K424" s="4">
        <f t="shared" ca="1" si="140"/>
        <v>6448260</v>
      </c>
      <c r="L424" t="str">
        <f t="shared" ca="1" si="141"/>
        <v>John Dela Cruz</v>
      </c>
      <c r="M424" t="str">
        <f t="shared" ca="1" si="142"/>
        <v>Investor</v>
      </c>
      <c r="N424" t="str">
        <f t="shared" ca="1" si="143"/>
        <v>Pag-IBIG Loan</v>
      </c>
      <c r="O424" s="1">
        <f t="shared" ca="1" si="144"/>
        <v>314</v>
      </c>
      <c r="P424" s="2">
        <f t="shared" ca="1" si="145"/>
        <v>193447.8</v>
      </c>
      <c r="Q424" s="2">
        <f t="shared" ca="1" si="146"/>
        <v>-665423</v>
      </c>
      <c r="R424" s="3">
        <f t="shared" ca="1" si="147"/>
        <v>107471</v>
      </c>
      <c r="S424">
        <f t="shared" ca="1" si="148"/>
        <v>60</v>
      </c>
      <c r="T424" s="2">
        <f t="shared" ca="1" si="149"/>
        <v>7113683.0935412785</v>
      </c>
      <c r="U424" s="17">
        <f t="shared" si="152"/>
        <v>2019</v>
      </c>
      <c r="V424" s="20" t="str">
        <f t="shared" si="150"/>
        <v>Oct-2019</v>
      </c>
    </row>
    <row r="425" spans="1:22" x14ac:dyDescent="0.3">
      <c r="A425" t="str">
        <f t="shared" si="151"/>
        <v>TX-00425</v>
      </c>
      <c r="B425" s="6">
        <v>45024</v>
      </c>
      <c r="C425" t="str">
        <f t="shared" ca="1" si="134"/>
        <v>House &amp; Lot</v>
      </c>
      <c r="D425" s="1" t="str">
        <f t="shared" ca="1" si="135"/>
        <v>Bulacan</v>
      </c>
      <c r="E425" s="1">
        <f t="shared" ca="1" si="154"/>
        <v>1</v>
      </c>
      <c r="F425" s="1">
        <f t="shared" ca="1" si="154"/>
        <v>2</v>
      </c>
      <c r="G425">
        <f t="shared" ca="1" si="136"/>
        <v>192</v>
      </c>
      <c r="H425">
        <f t="shared" ca="1" si="137"/>
        <v>250</v>
      </c>
      <c r="I425">
        <f t="shared" ca="1" si="138"/>
        <v>2014</v>
      </c>
      <c r="J425" s="2">
        <f t="shared" ca="1" si="139"/>
        <v>9130303</v>
      </c>
      <c r="K425" s="4">
        <f t="shared" ca="1" si="140"/>
        <v>6414515</v>
      </c>
      <c r="L425" t="str">
        <f t="shared" ca="1" si="141"/>
        <v>Rachel Villanueva</v>
      </c>
      <c r="M425" t="str">
        <f t="shared" ca="1" si="142"/>
        <v>Corporation</v>
      </c>
      <c r="N425" t="str">
        <f t="shared" ca="1" si="143"/>
        <v>Installment</v>
      </c>
      <c r="O425" s="1">
        <f t="shared" ca="1" si="144"/>
        <v>368</v>
      </c>
      <c r="P425" s="2">
        <f t="shared" ca="1" si="145"/>
        <v>192435.44999999998</v>
      </c>
      <c r="Q425" s="2">
        <f t="shared" ca="1" si="146"/>
        <v>-2715788</v>
      </c>
      <c r="R425" s="3">
        <f t="shared" ca="1" si="147"/>
        <v>25658.06</v>
      </c>
      <c r="S425">
        <f t="shared" ca="1" si="148"/>
        <v>250</v>
      </c>
      <c r="T425" s="2">
        <f t="shared" ca="1" si="149"/>
        <v>9130303.297447741</v>
      </c>
      <c r="U425" s="17">
        <f t="shared" si="152"/>
        <v>2023</v>
      </c>
      <c r="V425" s="20" t="str">
        <f t="shared" si="150"/>
        <v>Apr-2023</v>
      </c>
    </row>
    <row r="426" spans="1:22" x14ac:dyDescent="0.3">
      <c r="A426" t="str">
        <f t="shared" si="151"/>
        <v>TX-00426</v>
      </c>
      <c r="B426" s="6">
        <v>43801</v>
      </c>
      <c r="C426" t="str">
        <f t="shared" ca="1" si="134"/>
        <v>Commercial</v>
      </c>
      <c r="D426" s="1" t="str">
        <f t="shared" ca="1" si="135"/>
        <v>Laguna</v>
      </c>
      <c r="E426" s="1">
        <f t="shared" ca="1" si="154"/>
        <v>1</v>
      </c>
      <c r="F426" s="1">
        <f t="shared" ca="1" si="154"/>
        <v>2</v>
      </c>
      <c r="G426">
        <f t="shared" ca="1" si="136"/>
        <v>162</v>
      </c>
      <c r="H426">
        <f t="shared" ca="1" si="137"/>
        <v>164</v>
      </c>
      <c r="I426">
        <f t="shared" ca="1" si="138"/>
        <v>2018</v>
      </c>
      <c r="J426" s="2">
        <f t="shared" ca="1" si="139"/>
        <v>12103856</v>
      </c>
      <c r="K426" s="4">
        <f t="shared" ca="1" si="140"/>
        <v>7234440</v>
      </c>
      <c r="L426" t="str">
        <f t="shared" ca="1" si="141"/>
        <v>Michelle Flores</v>
      </c>
      <c r="M426" t="str">
        <f t="shared" ca="1" si="142"/>
        <v>Investor</v>
      </c>
      <c r="N426" t="str">
        <f t="shared" ca="1" si="143"/>
        <v>Pag-IBIG Loan</v>
      </c>
      <c r="O426" s="1">
        <f t="shared" ca="1" si="144"/>
        <v>249</v>
      </c>
      <c r="P426" s="2">
        <f t="shared" ca="1" si="145"/>
        <v>217033.19999999998</v>
      </c>
      <c r="Q426" s="2">
        <f t="shared" ca="1" si="146"/>
        <v>-4869416</v>
      </c>
      <c r="R426" s="3">
        <f t="shared" ca="1" si="147"/>
        <v>44112.439024390245</v>
      </c>
      <c r="S426">
        <f t="shared" ca="1" si="148"/>
        <v>164</v>
      </c>
      <c r="T426" s="2">
        <f t="shared" ca="1" si="149"/>
        <v>12103856.402302869</v>
      </c>
      <c r="U426" s="17">
        <f t="shared" si="152"/>
        <v>2019</v>
      </c>
      <c r="V426" s="20" t="str">
        <f t="shared" si="150"/>
        <v>Dec-2019</v>
      </c>
    </row>
    <row r="427" spans="1:22" x14ac:dyDescent="0.3">
      <c r="A427" t="str">
        <f t="shared" si="151"/>
        <v>TX-00427</v>
      </c>
      <c r="B427" s="6">
        <v>44932</v>
      </c>
      <c r="C427" t="str">
        <f t="shared" ca="1" si="134"/>
        <v>House &amp; Lot</v>
      </c>
      <c r="D427" s="1" t="str">
        <f t="shared" ca="1" si="135"/>
        <v>Cavite</v>
      </c>
      <c r="E427" s="1">
        <f t="shared" ca="1" si="154"/>
        <v>4</v>
      </c>
      <c r="F427" s="1">
        <f t="shared" ca="1" si="154"/>
        <v>2</v>
      </c>
      <c r="G427">
        <f t="shared" ca="1" si="136"/>
        <v>98</v>
      </c>
      <c r="H427">
        <f t="shared" ca="1" si="137"/>
        <v>84</v>
      </c>
      <c r="I427">
        <f t="shared" ca="1" si="138"/>
        <v>2018</v>
      </c>
      <c r="J427" s="2">
        <f t="shared" ca="1" si="139"/>
        <v>9605681</v>
      </c>
      <c r="K427" s="4">
        <f t="shared" ca="1" si="140"/>
        <v>8028235</v>
      </c>
      <c r="L427" t="str">
        <f t="shared" ca="1" si="141"/>
        <v>Anna Mendoza</v>
      </c>
      <c r="M427" t="str">
        <f t="shared" ca="1" si="142"/>
        <v>Individual</v>
      </c>
      <c r="N427" t="str">
        <f t="shared" ca="1" si="143"/>
        <v>Installment</v>
      </c>
      <c r="O427" s="1">
        <f t="shared" ca="1" si="144"/>
        <v>379</v>
      </c>
      <c r="P427" s="2">
        <f t="shared" ca="1" si="145"/>
        <v>240847.05</v>
      </c>
      <c r="Q427" s="2">
        <f t="shared" ca="1" si="146"/>
        <v>-1577446</v>
      </c>
      <c r="R427" s="3">
        <f t="shared" ca="1" si="147"/>
        <v>95574.226190476184</v>
      </c>
      <c r="S427">
        <f t="shared" ca="1" si="148"/>
        <v>84</v>
      </c>
      <c r="T427" s="2">
        <f t="shared" ca="1" si="149"/>
        <v>9605681.1642201114</v>
      </c>
      <c r="U427" s="17">
        <f t="shared" si="152"/>
        <v>2023</v>
      </c>
      <c r="V427" s="20" t="str">
        <f t="shared" si="150"/>
        <v>Jan-2023</v>
      </c>
    </row>
    <row r="428" spans="1:22" x14ac:dyDescent="0.3">
      <c r="A428" t="str">
        <f t="shared" si="151"/>
        <v>TX-00428</v>
      </c>
      <c r="B428" s="6">
        <v>44899</v>
      </c>
      <c r="C428" t="str">
        <f t="shared" ca="1" si="134"/>
        <v>Condo</v>
      </c>
      <c r="D428" s="1" t="str">
        <f t="shared" ca="1" si="135"/>
        <v>Makati</v>
      </c>
      <c r="E428" s="1">
        <f t="shared" ca="1" si="154"/>
        <v>3</v>
      </c>
      <c r="F428" s="1">
        <f t="shared" ca="1" si="154"/>
        <v>3</v>
      </c>
      <c r="G428">
        <f t="shared" ca="1" si="136"/>
        <v>113</v>
      </c>
      <c r="H428">
        <f t="shared" ca="1" si="137"/>
        <v>212</v>
      </c>
      <c r="I428">
        <f t="shared" ca="1" si="138"/>
        <v>2018</v>
      </c>
      <c r="J428" s="2">
        <f t="shared" ca="1" si="139"/>
        <v>2686842</v>
      </c>
      <c r="K428" s="4">
        <f t="shared" ca="1" si="140"/>
        <v>3116547</v>
      </c>
      <c r="L428" t="str">
        <f t="shared" ca="1" si="141"/>
        <v>Mary Garcia</v>
      </c>
      <c r="M428" t="str">
        <f t="shared" ca="1" si="142"/>
        <v>OFW</v>
      </c>
      <c r="N428" t="str">
        <f t="shared" ca="1" si="143"/>
        <v>Bank Loan</v>
      </c>
      <c r="O428" s="1">
        <f t="shared" ca="1" si="144"/>
        <v>282</v>
      </c>
      <c r="P428" s="2">
        <f t="shared" ca="1" si="145"/>
        <v>93496.41</v>
      </c>
      <c r="Q428" s="2">
        <f t="shared" ca="1" si="146"/>
        <v>429705</v>
      </c>
      <c r="R428" s="3">
        <f t="shared" ca="1" si="147"/>
        <v>27580.061946902653</v>
      </c>
      <c r="S428">
        <f t="shared" ca="1" si="148"/>
        <v>113</v>
      </c>
      <c r="T428" s="2">
        <f t="shared" ca="1" si="149"/>
        <v>2686841.8400706109</v>
      </c>
      <c r="U428" s="17">
        <f t="shared" si="152"/>
        <v>2022</v>
      </c>
      <c r="V428" s="20" t="str">
        <f t="shared" si="150"/>
        <v>Dec-2022</v>
      </c>
    </row>
    <row r="429" spans="1:22" x14ac:dyDescent="0.3">
      <c r="A429" t="str">
        <f t="shared" si="151"/>
        <v>TX-00429</v>
      </c>
      <c r="B429" s="6">
        <v>43942</v>
      </c>
      <c r="C429" t="str">
        <f t="shared" ca="1" si="134"/>
        <v>Commercial</v>
      </c>
      <c r="D429" s="1" t="str">
        <f t="shared" ca="1" si="135"/>
        <v>Laguna</v>
      </c>
      <c r="E429" s="1">
        <f t="shared" ca="1" si="154"/>
        <v>2</v>
      </c>
      <c r="F429" s="1">
        <f t="shared" ca="1" si="154"/>
        <v>3</v>
      </c>
      <c r="G429">
        <f t="shared" ca="1" si="136"/>
        <v>108</v>
      </c>
      <c r="H429">
        <f t="shared" ca="1" si="137"/>
        <v>233</v>
      </c>
      <c r="I429">
        <f t="shared" ca="1" si="138"/>
        <v>2018</v>
      </c>
      <c r="J429" s="2">
        <f t="shared" ca="1" si="139"/>
        <v>9052100</v>
      </c>
      <c r="K429" s="4">
        <f t="shared" ca="1" si="140"/>
        <v>5065119</v>
      </c>
      <c r="L429" t="str">
        <f t="shared" ca="1" si="141"/>
        <v>Daniel Cruz</v>
      </c>
      <c r="M429" t="str">
        <f t="shared" ca="1" si="142"/>
        <v>Investor</v>
      </c>
      <c r="N429" t="str">
        <f t="shared" ca="1" si="143"/>
        <v>Pag-IBIG Loan</v>
      </c>
      <c r="O429" s="1">
        <f t="shared" ca="1" si="144"/>
        <v>176</v>
      </c>
      <c r="P429" s="2">
        <f t="shared" ca="1" si="145"/>
        <v>151953.57</v>
      </c>
      <c r="Q429" s="2">
        <f t="shared" ca="1" si="146"/>
        <v>-3986981</v>
      </c>
      <c r="R429" s="3">
        <f t="shared" ca="1" si="147"/>
        <v>21738.708154506439</v>
      </c>
      <c r="S429">
        <f t="shared" ca="1" si="148"/>
        <v>233</v>
      </c>
      <c r="T429" s="2">
        <f t="shared" ca="1" si="149"/>
        <v>9052100.4404481836</v>
      </c>
      <c r="U429" s="17">
        <f t="shared" si="152"/>
        <v>2020</v>
      </c>
      <c r="V429" s="20" t="str">
        <f t="shared" si="150"/>
        <v>Apr-2020</v>
      </c>
    </row>
    <row r="430" spans="1:22" x14ac:dyDescent="0.3">
      <c r="A430" t="str">
        <f t="shared" si="151"/>
        <v>TX-00430</v>
      </c>
      <c r="B430" s="6">
        <v>43806</v>
      </c>
      <c r="C430" t="str">
        <f t="shared" ca="1" si="134"/>
        <v>House &amp; Lot</v>
      </c>
      <c r="D430" s="1" t="str">
        <f t="shared" ca="1" si="135"/>
        <v>Makati</v>
      </c>
      <c r="E430" s="1">
        <f t="shared" ca="1" si="154"/>
        <v>4</v>
      </c>
      <c r="F430" s="1">
        <f t="shared" ca="1" si="154"/>
        <v>1</v>
      </c>
      <c r="G430">
        <f t="shared" ca="1" si="136"/>
        <v>46</v>
      </c>
      <c r="H430">
        <f t="shared" ca="1" si="137"/>
        <v>154</v>
      </c>
      <c r="I430">
        <f t="shared" ca="1" si="138"/>
        <v>2019</v>
      </c>
      <c r="J430" s="2">
        <f t="shared" ca="1" si="139"/>
        <v>10528538</v>
      </c>
      <c r="K430" s="4">
        <f t="shared" ca="1" si="140"/>
        <v>6553486</v>
      </c>
      <c r="L430" t="str">
        <f t="shared" ca="1" si="141"/>
        <v>Rachel Villanueva</v>
      </c>
      <c r="M430" t="str">
        <f t="shared" ca="1" si="142"/>
        <v>Corporation</v>
      </c>
      <c r="N430" t="str">
        <f t="shared" ca="1" si="143"/>
        <v>Bank Loan</v>
      </c>
      <c r="O430" s="1">
        <f t="shared" ca="1" si="144"/>
        <v>389</v>
      </c>
      <c r="P430" s="2">
        <f t="shared" ca="1" si="145"/>
        <v>196604.58</v>
      </c>
      <c r="Q430" s="2">
        <f t="shared" ca="1" si="146"/>
        <v>-3975052</v>
      </c>
      <c r="R430" s="3">
        <f t="shared" ca="1" si="147"/>
        <v>42555.103896103894</v>
      </c>
      <c r="S430">
        <f t="shared" ca="1" si="148"/>
        <v>154</v>
      </c>
      <c r="T430" s="2">
        <f t="shared" ca="1" si="149"/>
        <v>10528538.377550235</v>
      </c>
      <c r="U430" s="17">
        <f t="shared" si="152"/>
        <v>2019</v>
      </c>
      <c r="V430" s="20" t="str">
        <f t="shared" si="150"/>
        <v>Dec-2019</v>
      </c>
    </row>
    <row r="431" spans="1:22" x14ac:dyDescent="0.3">
      <c r="A431" t="str">
        <f t="shared" si="151"/>
        <v>TX-00431</v>
      </c>
      <c r="B431" s="6">
        <v>45021</v>
      </c>
      <c r="C431" t="str">
        <f t="shared" ca="1" si="134"/>
        <v>Land</v>
      </c>
      <c r="D431" s="1" t="str">
        <f t="shared" ca="1" si="135"/>
        <v>Makati</v>
      </c>
      <c r="E431" s="1">
        <f t="shared" ca="1" si="154"/>
        <v>4</v>
      </c>
      <c r="F431" s="1">
        <f t="shared" ca="1" si="154"/>
        <v>3</v>
      </c>
      <c r="G431">
        <f t="shared" ca="1" si="136"/>
        <v>189</v>
      </c>
      <c r="H431">
        <f t="shared" ca="1" si="137"/>
        <v>202</v>
      </c>
      <c r="I431">
        <f t="shared" ca="1" si="138"/>
        <v>2014</v>
      </c>
      <c r="J431" s="2">
        <f t="shared" ca="1" si="139"/>
        <v>10690825</v>
      </c>
      <c r="K431" s="4">
        <f t="shared" ca="1" si="140"/>
        <v>8683947</v>
      </c>
      <c r="L431" t="str">
        <f t="shared" ca="1" si="141"/>
        <v>John Dela Cruz</v>
      </c>
      <c r="M431" t="str">
        <f t="shared" ca="1" si="142"/>
        <v>Individual</v>
      </c>
      <c r="N431" t="str">
        <f t="shared" ca="1" si="143"/>
        <v>Cash</v>
      </c>
      <c r="O431" s="1">
        <f t="shared" ca="1" si="144"/>
        <v>107</v>
      </c>
      <c r="P431" s="2">
        <f t="shared" ca="1" si="145"/>
        <v>260518.41</v>
      </c>
      <c r="Q431" s="2">
        <f t="shared" ca="1" si="146"/>
        <v>-2006878</v>
      </c>
      <c r="R431" s="3">
        <f t="shared" ca="1" si="147"/>
        <v>42989.83663366337</v>
      </c>
      <c r="S431">
        <f t="shared" ca="1" si="148"/>
        <v>202</v>
      </c>
      <c r="T431" s="2">
        <f t="shared" ca="1" si="149"/>
        <v>10690825.187719656</v>
      </c>
      <c r="U431" s="17">
        <f t="shared" si="152"/>
        <v>2023</v>
      </c>
      <c r="V431" s="20" t="str">
        <f t="shared" si="150"/>
        <v>Apr-2023</v>
      </c>
    </row>
    <row r="432" spans="1:22" x14ac:dyDescent="0.3">
      <c r="A432" t="str">
        <f t="shared" si="151"/>
        <v>TX-00432</v>
      </c>
      <c r="B432" s="6">
        <v>44997</v>
      </c>
      <c r="C432" t="str">
        <f t="shared" ca="1" si="134"/>
        <v>Land</v>
      </c>
      <c r="D432" s="1" t="str">
        <f t="shared" ca="1" si="135"/>
        <v>Cavite</v>
      </c>
      <c r="E432" s="1">
        <f t="shared" ca="1" si="154"/>
        <v>1</v>
      </c>
      <c r="F432" s="1">
        <f t="shared" ca="1" si="154"/>
        <v>2</v>
      </c>
      <c r="G432">
        <f t="shared" ca="1" si="136"/>
        <v>41</v>
      </c>
      <c r="H432">
        <f t="shared" ca="1" si="137"/>
        <v>217</v>
      </c>
      <c r="I432">
        <f t="shared" ca="1" si="138"/>
        <v>2023</v>
      </c>
      <c r="J432" s="2">
        <f t="shared" ca="1" si="139"/>
        <v>8983477</v>
      </c>
      <c r="K432" s="4">
        <f t="shared" ca="1" si="140"/>
        <v>12528588</v>
      </c>
      <c r="L432" t="str">
        <f t="shared" ca="1" si="141"/>
        <v>John Dela Cruz</v>
      </c>
      <c r="M432" t="str">
        <f t="shared" ca="1" si="142"/>
        <v>Individual</v>
      </c>
      <c r="N432" t="str">
        <f t="shared" ca="1" si="143"/>
        <v>Bank Loan</v>
      </c>
      <c r="O432" s="1">
        <f t="shared" ca="1" si="144"/>
        <v>370</v>
      </c>
      <c r="P432" s="2">
        <f t="shared" ca="1" si="145"/>
        <v>375857.64</v>
      </c>
      <c r="Q432" s="2">
        <f t="shared" ca="1" si="146"/>
        <v>3545111</v>
      </c>
      <c r="R432" s="3">
        <f t="shared" ca="1" si="147"/>
        <v>57735.428571428572</v>
      </c>
      <c r="S432">
        <f t="shared" ca="1" si="148"/>
        <v>217</v>
      </c>
      <c r="T432" s="2">
        <f t="shared" ca="1" si="149"/>
        <v>8983476.6053742897</v>
      </c>
      <c r="U432" s="17">
        <f t="shared" si="152"/>
        <v>2023</v>
      </c>
      <c r="V432" s="20" t="str">
        <f t="shared" si="150"/>
        <v>Mar-2023</v>
      </c>
    </row>
    <row r="433" spans="1:22" x14ac:dyDescent="0.3">
      <c r="A433" t="str">
        <f t="shared" si="151"/>
        <v>TX-00433</v>
      </c>
      <c r="B433" s="6">
        <v>43775</v>
      </c>
      <c r="C433" t="str">
        <f t="shared" ca="1" si="134"/>
        <v>Commercial</v>
      </c>
      <c r="D433" s="1" t="str">
        <f t="shared" ca="1" si="135"/>
        <v>Makati</v>
      </c>
      <c r="E433" s="1">
        <f t="shared" ca="1" si="154"/>
        <v>2</v>
      </c>
      <c r="F433" s="1">
        <f t="shared" ca="1" si="154"/>
        <v>2</v>
      </c>
      <c r="G433">
        <f t="shared" ca="1" si="136"/>
        <v>140</v>
      </c>
      <c r="H433">
        <f t="shared" ca="1" si="137"/>
        <v>132</v>
      </c>
      <c r="I433">
        <f t="shared" ca="1" si="138"/>
        <v>2018</v>
      </c>
      <c r="J433" s="2">
        <f t="shared" ca="1" si="139"/>
        <v>2176007</v>
      </c>
      <c r="K433" s="4">
        <f t="shared" ca="1" si="140"/>
        <v>1686090</v>
      </c>
      <c r="L433" t="str">
        <f t="shared" ca="1" si="141"/>
        <v>Mary Garcia</v>
      </c>
      <c r="M433" t="str">
        <f t="shared" ca="1" si="142"/>
        <v>Individual</v>
      </c>
      <c r="N433" t="str">
        <f t="shared" ca="1" si="143"/>
        <v>Installment</v>
      </c>
      <c r="O433" s="1">
        <f t="shared" ca="1" si="144"/>
        <v>314</v>
      </c>
      <c r="P433" s="2">
        <f t="shared" ca="1" si="145"/>
        <v>50582.7</v>
      </c>
      <c r="Q433" s="2">
        <f t="shared" ca="1" si="146"/>
        <v>-489917</v>
      </c>
      <c r="R433" s="3">
        <f t="shared" ca="1" si="147"/>
        <v>12773.40909090909</v>
      </c>
      <c r="S433">
        <f t="shared" ca="1" si="148"/>
        <v>132</v>
      </c>
      <c r="T433" s="2">
        <f t="shared" ca="1" si="149"/>
        <v>2176007.2251449558</v>
      </c>
      <c r="U433" s="17">
        <f t="shared" si="152"/>
        <v>2019</v>
      </c>
      <c r="V433" s="20" t="str">
        <f t="shared" si="150"/>
        <v>Nov-2019</v>
      </c>
    </row>
    <row r="434" spans="1:22" x14ac:dyDescent="0.3">
      <c r="A434" t="str">
        <f t="shared" si="151"/>
        <v>TX-00434</v>
      </c>
      <c r="B434" s="6">
        <v>45732</v>
      </c>
      <c r="C434" t="str">
        <f t="shared" ca="1" si="134"/>
        <v>Land</v>
      </c>
      <c r="D434" s="1" t="str">
        <f t="shared" ca="1" si="135"/>
        <v>Cavite</v>
      </c>
      <c r="E434" s="1">
        <f t="shared" ca="1" si="154"/>
        <v>4</v>
      </c>
      <c r="F434" s="1">
        <f t="shared" ca="1" si="154"/>
        <v>2</v>
      </c>
      <c r="G434">
        <f t="shared" ca="1" si="136"/>
        <v>78</v>
      </c>
      <c r="H434">
        <f t="shared" ca="1" si="137"/>
        <v>226</v>
      </c>
      <c r="I434">
        <f t="shared" ca="1" si="138"/>
        <v>2019</v>
      </c>
      <c r="J434" s="2">
        <f t="shared" ca="1" si="139"/>
        <v>2359257</v>
      </c>
      <c r="K434" s="4">
        <f t="shared" ca="1" si="140"/>
        <v>3834047</v>
      </c>
      <c r="L434" t="str">
        <f t="shared" ca="1" si="141"/>
        <v>Mark Reyes</v>
      </c>
      <c r="M434" t="str">
        <f t="shared" ca="1" si="142"/>
        <v>Corporation</v>
      </c>
      <c r="N434" t="str">
        <f t="shared" ca="1" si="143"/>
        <v>Installment</v>
      </c>
      <c r="O434" s="1">
        <f t="shared" ca="1" si="144"/>
        <v>149</v>
      </c>
      <c r="P434" s="2">
        <f t="shared" ca="1" si="145"/>
        <v>115021.40999999999</v>
      </c>
      <c r="Q434" s="2">
        <f t="shared" ca="1" si="146"/>
        <v>1474790</v>
      </c>
      <c r="R434" s="3">
        <f t="shared" ca="1" si="147"/>
        <v>16964.809734513274</v>
      </c>
      <c r="S434">
        <f t="shared" ca="1" si="148"/>
        <v>226</v>
      </c>
      <c r="T434" s="2">
        <f t="shared" ca="1" si="149"/>
        <v>2359256.3748921799</v>
      </c>
      <c r="U434" s="17">
        <f t="shared" si="152"/>
        <v>2025</v>
      </c>
      <c r="V434" s="20" t="str">
        <f t="shared" si="150"/>
        <v>Mar-2025</v>
      </c>
    </row>
    <row r="435" spans="1:22" x14ac:dyDescent="0.3">
      <c r="A435" t="str">
        <f t="shared" si="151"/>
        <v>TX-00435</v>
      </c>
      <c r="B435" s="6">
        <v>44696</v>
      </c>
      <c r="C435" t="str">
        <f t="shared" ca="1" si="134"/>
        <v>Land</v>
      </c>
      <c r="D435" s="1" t="str">
        <f t="shared" ca="1" si="135"/>
        <v>Makati</v>
      </c>
      <c r="E435" s="1">
        <f t="shared" ca="1" si="154"/>
        <v>2</v>
      </c>
      <c r="F435" s="1">
        <f t="shared" ca="1" si="154"/>
        <v>1</v>
      </c>
      <c r="G435">
        <f t="shared" ca="1" si="136"/>
        <v>162</v>
      </c>
      <c r="H435">
        <f t="shared" ca="1" si="137"/>
        <v>136</v>
      </c>
      <c r="I435">
        <f t="shared" ca="1" si="138"/>
        <v>2013</v>
      </c>
      <c r="J435" s="2">
        <f t="shared" ca="1" si="139"/>
        <v>13106192</v>
      </c>
      <c r="K435" s="4">
        <f t="shared" ca="1" si="140"/>
        <v>5750859</v>
      </c>
      <c r="L435" t="str">
        <f t="shared" ca="1" si="141"/>
        <v>Michael Santos</v>
      </c>
      <c r="M435" t="str">
        <f t="shared" ca="1" si="142"/>
        <v>Corporation</v>
      </c>
      <c r="N435" t="str">
        <f t="shared" ca="1" si="143"/>
        <v>Installment</v>
      </c>
      <c r="O435" s="1">
        <f t="shared" ca="1" si="144"/>
        <v>234</v>
      </c>
      <c r="P435" s="2">
        <f t="shared" ca="1" si="145"/>
        <v>172525.77</v>
      </c>
      <c r="Q435" s="2">
        <f t="shared" ca="1" si="146"/>
        <v>-7355333</v>
      </c>
      <c r="R435" s="3">
        <f t="shared" ca="1" si="147"/>
        <v>42285.727941176468</v>
      </c>
      <c r="S435">
        <f t="shared" ca="1" si="148"/>
        <v>136</v>
      </c>
      <c r="T435" s="2">
        <f t="shared" ca="1" si="149"/>
        <v>13106192.561210534</v>
      </c>
      <c r="U435" s="17">
        <f t="shared" si="152"/>
        <v>2022</v>
      </c>
      <c r="V435" s="20" t="str">
        <f t="shared" si="150"/>
        <v>May-2022</v>
      </c>
    </row>
    <row r="436" spans="1:22" x14ac:dyDescent="0.3">
      <c r="A436" t="str">
        <f t="shared" si="151"/>
        <v>TX-00436</v>
      </c>
      <c r="B436" s="6">
        <v>43228</v>
      </c>
      <c r="C436" t="str">
        <f t="shared" ca="1" si="134"/>
        <v>Commercial</v>
      </c>
      <c r="D436" s="1" t="str">
        <f t="shared" ca="1" si="135"/>
        <v>Cavite</v>
      </c>
      <c r="E436" s="1">
        <f t="shared" ca="1" si="154"/>
        <v>3</v>
      </c>
      <c r="F436" s="1">
        <f t="shared" ca="1" si="154"/>
        <v>3</v>
      </c>
      <c r="G436">
        <f t="shared" ca="1" si="136"/>
        <v>109</v>
      </c>
      <c r="H436">
        <f t="shared" ca="1" si="137"/>
        <v>70</v>
      </c>
      <c r="I436">
        <f t="shared" ca="1" si="138"/>
        <v>2020</v>
      </c>
      <c r="J436" s="2">
        <f t="shared" ca="1" si="139"/>
        <v>7030758</v>
      </c>
      <c r="K436" s="4">
        <f t="shared" ca="1" si="140"/>
        <v>4090973</v>
      </c>
      <c r="L436" t="str">
        <f t="shared" ca="1" si="141"/>
        <v>Anna Mendoza</v>
      </c>
      <c r="M436" t="str">
        <f t="shared" ca="1" si="142"/>
        <v>OFW</v>
      </c>
      <c r="N436" t="str">
        <f t="shared" ca="1" si="143"/>
        <v>Bank Loan</v>
      </c>
      <c r="O436" s="1">
        <f t="shared" ca="1" si="144"/>
        <v>142</v>
      </c>
      <c r="P436" s="2">
        <f t="shared" ca="1" si="145"/>
        <v>122729.19</v>
      </c>
      <c r="Q436" s="2">
        <f t="shared" ca="1" si="146"/>
        <v>-2939785</v>
      </c>
      <c r="R436" s="3">
        <f t="shared" ca="1" si="147"/>
        <v>58442.471428571429</v>
      </c>
      <c r="S436">
        <f t="shared" ca="1" si="148"/>
        <v>70</v>
      </c>
      <c r="T436" s="2">
        <f t="shared" ca="1" si="149"/>
        <v>7030758.4181320136</v>
      </c>
      <c r="U436" s="17">
        <f t="shared" si="152"/>
        <v>2018</v>
      </c>
      <c r="V436" s="20" t="str">
        <f t="shared" si="150"/>
        <v>May-2018</v>
      </c>
    </row>
    <row r="437" spans="1:22" x14ac:dyDescent="0.3">
      <c r="A437" t="str">
        <f t="shared" si="151"/>
        <v>TX-00437</v>
      </c>
      <c r="B437" s="6">
        <v>45965</v>
      </c>
      <c r="C437" t="str">
        <f t="shared" ca="1" si="134"/>
        <v>Condo</v>
      </c>
      <c r="D437" s="1" t="str">
        <f t="shared" ca="1" si="135"/>
        <v>Makati</v>
      </c>
      <c r="E437" s="1">
        <f t="shared" ca="1" si="154"/>
        <v>3</v>
      </c>
      <c r="F437" s="1">
        <f t="shared" ca="1" si="154"/>
        <v>1</v>
      </c>
      <c r="G437">
        <f t="shared" ca="1" si="136"/>
        <v>151</v>
      </c>
      <c r="H437">
        <f t="shared" ca="1" si="137"/>
        <v>179</v>
      </c>
      <c r="I437">
        <f t="shared" ca="1" si="138"/>
        <v>2015</v>
      </c>
      <c r="J437" s="2">
        <f t="shared" ca="1" si="139"/>
        <v>8498194</v>
      </c>
      <c r="K437" s="4">
        <f t="shared" ca="1" si="140"/>
        <v>3645512</v>
      </c>
      <c r="L437" t="str">
        <f t="shared" ca="1" si="141"/>
        <v>Rachel Villanueva</v>
      </c>
      <c r="M437" t="str">
        <f t="shared" ca="1" si="142"/>
        <v>OFW</v>
      </c>
      <c r="N437" t="str">
        <f t="shared" ca="1" si="143"/>
        <v>Bank Loan</v>
      </c>
      <c r="O437" s="1">
        <f t="shared" ca="1" si="144"/>
        <v>220</v>
      </c>
      <c r="P437" s="2">
        <f t="shared" ca="1" si="145"/>
        <v>109365.36</v>
      </c>
      <c r="Q437" s="2">
        <f t="shared" ca="1" si="146"/>
        <v>-4852682</v>
      </c>
      <c r="R437" s="3">
        <f t="shared" ca="1" si="147"/>
        <v>24142.463576158942</v>
      </c>
      <c r="S437">
        <f t="shared" ca="1" si="148"/>
        <v>151</v>
      </c>
      <c r="T437" s="2">
        <f t="shared" ca="1" si="149"/>
        <v>8498194.5710250903</v>
      </c>
      <c r="U437" s="17">
        <f t="shared" si="152"/>
        <v>2025</v>
      </c>
      <c r="V437" s="20" t="str">
        <f t="shared" si="150"/>
        <v>Nov-2025</v>
      </c>
    </row>
    <row r="438" spans="1:22" x14ac:dyDescent="0.3">
      <c r="A438" t="str">
        <f t="shared" si="151"/>
        <v>TX-00438</v>
      </c>
      <c r="B438" s="6">
        <v>45517</v>
      </c>
      <c r="C438" t="str">
        <f t="shared" ca="1" si="134"/>
        <v>Commercial</v>
      </c>
      <c r="D438" s="1" t="str">
        <f t="shared" ca="1" si="135"/>
        <v>Laguna</v>
      </c>
      <c r="E438" s="1">
        <f t="shared" ca="1" si="154"/>
        <v>2</v>
      </c>
      <c r="F438" s="1">
        <f t="shared" ca="1" si="154"/>
        <v>3</v>
      </c>
      <c r="G438">
        <f t="shared" ca="1" si="136"/>
        <v>65</v>
      </c>
      <c r="H438">
        <f t="shared" ca="1" si="137"/>
        <v>242</v>
      </c>
      <c r="I438">
        <f t="shared" ca="1" si="138"/>
        <v>2019</v>
      </c>
      <c r="J438" s="2">
        <f t="shared" ca="1" si="139"/>
        <v>5869568</v>
      </c>
      <c r="K438" s="4">
        <f t="shared" ca="1" si="140"/>
        <v>8033351</v>
      </c>
      <c r="L438" t="str">
        <f t="shared" ca="1" si="141"/>
        <v>Daniel Cruz</v>
      </c>
      <c r="M438" t="str">
        <f t="shared" ca="1" si="142"/>
        <v>Individual</v>
      </c>
      <c r="N438" t="str">
        <f t="shared" ca="1" si="143"/>
        <v>Installment</v>
      </c>
      <c r="O438" s="1">
        <f t="shared" ca="1" si="144"/>
        <v>239</v>
      </c>
      <c r="P438" s="2">
        <f t="shared" ca="1" si="145"/>
        <v>241000.53</v>
      </c>
      <c r="Q438" s="2">
        <f t="shared" ca="1" si="146"/>
        <v>2163783</v>
      </c>
      <c r="R438" s="3">
        <f t="shared" ca="1" si="147"/>
        <v>33195.665289256198</v>
      </c>
      <c r="S438">
        <f t="shared" ca="1" si="148"/>
        <v>242</v>
      </c>
      <c r="T438" s="2">
        <f t="shared" ca="1" si="149"/>
        <v>5869567.6313556638</v>
      </c>
      <c r="U438" s="17">
        <f t="shared" si="152"/>
        <v>2024</v>
      </c>
      <c r="V438" s="20" t="str">
        <f t="shared" si="150"/>
        <v>Aug-2024</v>
      </c>
    </row>
    <row r="439" spans="1:22" x14ac:dyDescent="0.3">
      <c r="A439" t="str">
        <f t="shared" si="151"/>
        <v>TX-00439</v>
      </c>
      <c r="B439" s="6">
        <v>45916</v>
      </c>
      <c r="C439" t="str">
        <f t="shared" ca="1" si="134"/>
        <v>House &amp; Lot</v>
      </c>
      <c r="D439" s="1" t="str">
        <f t="shared" ca="1" si="135"/>
        <v>Cavite</v>
      </c>
      <c r="E439" s="1">
        <f t="shared" ca="1" si="154"/>
        <v>1</v>
      </c>
      <c r="F439" s="1">
        <f t="shared" ca="1" si="154"/>
        <v>3</v>
      </c>
      <c r="G439">
        <f t="shared" ca="1" si="136"/>
        <v>133</v>
      </c>
      <c r="H439">
        <f t="shared" ca="1" si="137"/>
        <v>159</v>
      </c>
      <c r="I439">
        <f t="shared" ca="1" si="138"/>
        <v>2014</v>
      </c>
      <c r="J439" s="2">
        <f t="shared" ca="1" si="139"/>
        <v>6666522</v>
      </c>
      <c r="K439" s="4">
        <f t="shared" ca="1" si="140"/>
        <v>4776671</v>
      </c>
      <c r="L439" t="str">
        <f t="shared" ca="1" si="141"/>
        <v>John Dela Cruz</v>
      </c>
      <c r="M439" t="str">
        <f t="shared" ca="1" si="142"/>
        <v>Corporation</v>
      </c>
      <c r="N439" t="str">
        <f t="shared" ca="1" si="143"/>
        <v>Cash</v>
      </c>
      <c r="O439" s="1">
        <f t="shared" ca="1" si="144"/>
        <v>232</v>
      </c>
      <c r="P439" s="2">
        <f t="shared" ca="1" si="145"/>
        <v>143300.13</v>
      </c>
      <c r="Q439" s="2">
        <f t="shared" ca="1" si="146"/>
        <v>-1889851</v>
      </c>
      <c r="R439" s="3">
        <f t="shared" ca="1" si="147"/>
        <v>30041.955974842767</v>
      </c>
      <c r="S439">
        <f t="shared" ca="1" si="148"/>
        <v>159</v>
      </c>
      <c r="T439" s="2">
        <f t="shared" ca="1" si="149"/>
        <v>6666522.2834838014</v>
      </c>
      <c r="U439" s="17">
        <f t="shared" si="152"/>
        <v>2025</v>
      </c>
      <c r="V439" s="20" t="str">
        <f t="shared" si="150"/>
        <v>Sep-2025</v>
      </c>
    </row>
    <row r="440" spans="1:22" x14ac:dyDescent="0.3">
      <c r="A440" t="str">
        <f t="shared" si="151"/>
        <v>TX-00440</v>
      </c>
      <c r="B440" s="6">
        <v>45068</v>
      </c>
      <c r="C440" t="str">
        <f t="shared" ca="1" si="134"/>
        <v>Land</v>
      </c>
      <c r="D440" s="1" t="str">
        <f t="shared" ca="1" si="135"/>
        <v>Laguna</v>
      </c>
      <c r="E440" s="1">
        <f t="shared" ca="1" si="154"/>
        <v>2</v>
      </c>
      <c r="F440" s="1">
        <f t="shared" ca="1" si="154"/>
        <v>4</v>
      </c>
      <c r="G440">
        <f t="shared" ca="1" si="136"/>
        <v>56</v>
      </c>
      <c r="H440">
        <f t="shared" ca="1" si="137"/>
        <v>137</v>
      </c>
      <c r="I440">
        <f t="shared" ca="1" si="138"/>
        <v>2017</v>
      </c>
      <c r="J440" s="2">
        <f t="shared" ca="1" si="139"/>
        <v>9062413</v>
      </c>
      <c r="K440" s="4">
        <f t="shared" ca="1" si="140"/>
        <v>12883487</v>
      </c>
      <c r="L440" t="str">
        <f t="shared" ca="1" si="141"/>
        <v>Michael Santos</v>
      </c>
      <c r="M440" t="str">
        <f t="shared" ca="1" si="142"/>
        <v>OFW</v>
      </c>
      <c r="N440" t="str">
        <f t="shared" ca="1" si="143"/>
        <v>Installment</v>
      </c>
      <c r="O440" s="1">
        <f t="shared" ca="1" si="144"/>
        <v>220</v>
      </c>
      <c r="P440" s="2">
        <f t="shared" ca="1" si="145"/>
        <v>386504.61</v>
      </c>
      <c r="Q440" s="2">
        <f t="shared" ca="1" si="146"/>
        <v>3821074</v>
      </c>
      <c r="R440" s="3">
        <f t="shared" ca="1" si="147"/>
        <v>94040.051094890514</v>
      </c>
      <c r="S440">
        <f t="shared" ca="1" si="148"/>
        <v>137</v>
      </c>
      <c r="T440" s="2">
        <f t="shared" ca="1" si="149"/>
        <v>9062412.5783601999</v>
      </c>
      <c r="U440" s="17">
        <f t="shared" si="152"/>
        <v>2023</v>
      </c>
      <c r="V440" s="20" t="str">
        <f t="shared" si="150"/>
        <v>May-2023</v>
      </c>
    </row>
    <row r="441" spans="1:22" x14ac:dyDescent="0.3">
      <c r="A441" t="str">
        <f t="shared" si="151"/>
        <v>TX-00441</v>
      </c>
      <c r="B441" s="6">
        <v>46065</v>
      </c>
      <c r="C441" t="str">
        <f t="shared" ca="1" si="134"/>
        <v>Condo</v>
      </c>
      <c r="D441" s="1" t="str">
        <f t="shared" ca="1" si="135"/>
        <v>Laguna</v>
      </c>
      <c r="E441" s="1">
        <f t="shared" ca="1" si="154"/>
        <v>3</v>
      </c>
      <c r="F441" s="1">
        <f t="shared" ca="1" si="154"/>
        <v>2</v>
      </c>
      <c r="G441">
        <f t="shared" ca="1" si="136"/>
        <v>145</v>
      </c>
      <c r="H441">
        <f t="shared" ca="1" si="137"/>
        <v>80</v>
      </c>
      <c r="I441">
        <f t="shared" ca="1" si="138"/>
        <v>2011</v>
      </c>
      <c r="J441" s="2">
        <f t="shared" ca="1" si="139"/>
        <v>11596328</v>
      </c>
      <c r="K441" s="4">
        <f t="shared" ca="1" si="140"/>
        <v>2346322</v>
      </c>
      <c r="L441" t="str">
        <f t="shared" ca="1" si="141"/>
        <v>Anna Mendoza</v>
      </c>
      <c r="M441" t="str">
        <f t="shared" ca="1" si="142"/>
        <v>Corporation</v>
      </c>
      <c r="N441" t="str">
        <f t="shared" ca="1" si="143"/>
        <v>Pag-IBIG Loan</v>
      </c>
      <c r="O441" s="1">
        <f t="shared" ca="1" si="144"/>
        <v>212</v>
      </c>
      <c r="P441" s="2">
        <f t="shared" ca="1" si="145"/>
        <v>70389.66</v>
      </c>
      <c r="Q441" s="2">
        <f t="shared" ca="1" si="146"/>
        <v>-9250006</v>
      </c>
      <c r="R441" s="3">
        <f t="shared" ca="1" si="147"/>
        <v>16181.531034482759</v>
      </c>
      <c r="S441">
        <f t="shared" ca="1" si="148"/>
        <v>145</v>
      </c>
      <c r="T441" s="2">
        <f t="shared" ca="1" si="149"/>
        <v>11596328.797666812</v>
      </c>
      <c r="U441" s="17">
        <f t="shared" si="152"/>
        <v>2026</v>
      </c>
      <c r="V441" s="20" t="str">
        <f t="shared" si="150"/>
        <v>Feb-2026</v>
      </c>
    </row>
    <row r="442" spans="1:22" x14ac:dyDescent="0.3">
      <c r="A442" t="str">
        <f t="shared" si="151"/>
        <v>TX-00442</v>
      </c>
      <c r="B442" s="6">
        <v>43694</v>
      </c>
      <c r="C442" t="str">
        <f t="shared" ca="1" si="134"/>
        <v>House &amp; Lot</v>
      </c>
      <c r="D442" s="1" t="str">
        <f t="shared" ca="1" si="135"/>
        <v>Makati</v>
      </c>
      <c r="E442" s="1">
        <f t="shared" ref="E442:F461" ca="1" si="155">RANDBETWEEN(1,4)</f>
        <v>1</v>
      </c>
      <c r="F442" s="1">
        <f t="shared" ca="1" si="155"/>
        <v>1</v>
      </c>
      <c r="G442">
        <f t="shared" ca="1" si="136"/>
        <v>115</v>
      </c>
      <c r="H442">
        <f t="shared" ca="1" si="137"/>
        <v>213</v>
      </c>
      <c r="I442">
        <f t="shared" ca="1" si="138"/>
        <v>2014</v>
      </c>
      <c r="J442" s="2">
        <f t="shared" ca="1" si="139"/>
        <v>12621315</v>
      </c>
      <c r="K442" s="4">
        <f t="shared" ca="1" si="140"/>
        <v>9455205</v>
      </c>
      <c r="L442" t="str">
        <f t="shared" ca="1" si="141"/>
        <v>Anna Mendoza</v>
      </c>
      <c r="M442" t="str">
        <f t="shared" ca="1" si="142"/>
        <v>OFW</v>
      </c>
      <c r="N442" t="str">
        <f t="shared" ca="1" si="143"/>
        <v>Cash</v>
      </c>
      <c r="O442" s="1">
        <f t="shared" ca="1" si="144"/>
        <v>245</v>
      </c>
      <c r="P442" s="2">
        <f t="shared" ca="1" si="145"/>
        <v>283656.14999999997</v>
      </c>
      <c r="Q442" s="2">
        <f t="shared" ca="1" si="146"/>
        <v>-3166110</v>
      </c>
      <c r="R442" s="3">
        <f t="shared" ca="1" si="147"/>
        <v>44390.633802816905</v>
      </c>
      <c r="S442">
        <f t="shared" ca="1" si="148"/>
        <v>213</v>
      </c>
      <c r="T442" s="2">
        <f t="shared" ca="1" si="149"/>
        <v>12621315.250854209</v>
      </c>
      <c r="U442" s="17">
        <f t="shared" si="152"/>
        <v>2019</v>
      </c>
      <c r="V442" s="20" t="str">
        <f t="shared" si="150"/>
        <v>Aug-2019</v>
      </c>
    </row>
    <row r="443" spans="1:22" x14ac:dyDescent="0.3">
      <c r="A443" t="str">
        <f t="shared" si="151"/>
        <v>TX-00443</v>
      </c>
      <c r="B443" s="6">
        <v>43923</v>
      </c>
      <c r="C443" t="str">
        <f t="shared" ca="1" si="134"/>
        <v>Commercial</v>
      </c>
      <c r="D443" s="1" t="str">
        <f t="shared" ca="1" si="135"/>
        <v>Bulacan</v>
      </c>
      <c r="E443" s="1">
        <f t="shared" ca="1" si="155"/>
        <v>2</v>
      </c>
      <c r="F443" s="1">
        <f t="shared" ca="1" si="155"/>
        <v>4</v>
      </c>
      <c r="G443">
        <f t="shared" ca="1" si="136"/>
        <v>147</v>
      </c>
      <c r="H443">
        <f t="shared" ca="1" si="137"/>
        <v>89</v>
      </c>
      <c r="I443">
        <f t="shared" ca="1" si="138"/>
        <v>2010</v>
      </c>
      <c r="J443" s="2">
        <f t="shared" ca="1" si="139"/>
        <v>6763601</v>
      </c>
      <c r="K443" s="4">
        <f t="shared" ca="1" si="140"/>
        <v>3689015</v>
      </c>
      <c r="L443" t="str">
        <f t="shared" ca="1" si="141"/>
        <v>Mark Reyes</v>
      </c>
      <c r="M443" t="str">
        <f t="shared" ca="1" si="142"/>
        <v>Investor</v>
      </c>
      <c r="N443" t="str">
        <f t="shared" ca="1" si="143"/>
        <v>Installment</v>
      </c>
      <c r="O443" s="1">
        <f t="shared" ca="1" si="144"/>
        <v>207</v>
      </c>
      <c r="P443" s="2">
        <f t="shared" ca="1" si="145"/>
        <v>110670.45</v>
      </c>
      <c r="Q443" s="2">
        <f t="shared" ca="1" si="146"/>
        <v>-3074586</v>
      </c>
      <c r="R443" s="3">
        <f t="shared" ca="1" si="147"/>
        <v>41449.606741573036</v>
      </c>
      <c r="S443">
        <f t="shared" ca="1" si="148"/>
        <v>89</v>
      </c>
      <c r="T443" s="2">
        <f t="shared" ca="1" si="149"/>
        <v>6763601.4545782637</v>
      </c>
      <c r="U443" s="17">
        <f t="shared" si="152"/>
        <v>2020</v>
      </c>
      <c r="V443" s="20" t="str">
        <f t="shared" si="150"/>
        <v>Apr-2020</v>
      </c>
    </row>
    <row r="444" spans="1:22" x14ac:dyDescent="0.3">
      <c r="A444" t="str">
        <f t="shared" si="151"/>
        <v>TX-00444</v>
      </c>
      <c r="B444" s="6">
        <v>43909</v>
      </c>
      <c r="C444" t="str">
        <f t="shared" ca="1" si="134"/>
        <v>Condo</v>
      </c>
      <c r="D444" s="1" t="str">
        <f t="shared" ca="1" si="135"/>
        <v>Cavite</v>
      </c>
      <c r="E444" s="1">
        <f t="shared" ca="1" si="155"/>
        <v>1</v>
      </c>
      <c r="F444" s="1">
        <f t="shared" ca="1" si="155"/>
        <v>2</v>
      </c>
      <c r="G444">
        <f t="shared" ca="1" si="136"/>
        <v>43</v>
      </c>
      <c r="H444">
        <f t="shared" ca="1" si="137"/>
        <v>58</v>
      </c>
      <c r="I444">
        <f t="shared" ca="1" si="138"/>
        <v>2019</v>
      </c>
      <c r="J444" s="2">
        <f t="shared" ca="1" si="139"/>
        <v>8343300</v>
      </c>
      <c r="K444" s="4">
        <f t="shared" ca="1" si="140"/>
        <v>10884247</v>
      </c>
      <c r="L444" t="str">
        <f t="shared" ca="1" si="141"/>
        <v>Mark Reyes</v>
      </c>
      <c r="M444" t="str">
        <f t="shared" ca="1" si="142"/>
        <v>Investor</v>
      </c>
      <c r="N444" t="str">
        <f t="shared" ca="1" si="143"/>
        <v>Bank Loan</v>
      </c>
      <c r="O444" s="1">
        <f t="shared" ca="1" si="144"/>
        <v>238</v>
      </c>
      <c r="P444" s="2">
        <f t="shared" ca="1" si="145"/>
        <v>326527.40999999997</v>
      </c>
      <c r="Q444" s="2">
        <f t="shared" ca="1" si="146"/>
        <v>2540947</v>
      </c>
      <c r="R444" s="3">
        <f t="shared" ca="1" si="147"/>
        <v>253122.02325581395</v>
      </c>
      <c r="S444">
        <f t="shared" ca="1" si="148"/>
        <v>43</v>
      </c>
      <c r="T444" s="2">
        <f t="shared" ca="1" si="149"/>
        <v>8343299.6954506012</v>
      </c>
      <c r="U444" s="17">
        <f t="shared" si="152"/>
        <v>2020</v>
      </c>
      <c r="V444" s="20" t="str">
        <f t="shared" si="150"/>
        <v>Mar-2020</v>
      </c>
    </row>
    <row r="445" spans="1:22" x14ac:dyDescent="0.3">
      <c r="A445" t="str">
        <f t="shared" si="151"/>
        <v>TX-00445</v>
      </c>
      <c r="B445" s="6">
        <v>45200</v>
      </c>
      <c r="C445" t="str">
        <f t="shared" ca="1" si="134"/>
        <v>Land</v>
      </c>
      <c r="D445" s="1" t="str">
        <f t="shared" ca="1" si="135"/>
        <v>Bulacan</v>
      </c>
      <c r="E445" s="1">
        <f t="shared" ca="1" si="155"/>
        <v>3</v>
      </c>
      <c r="F445" s="1">
        <f t="shared" ca="1" si="155"/>
        <v>1</v>
      </c>
      <c r="G445">
        <f t="shared" ca="1" si="136"/>
        <v>155</v>
      </c>
      <c r="H445">
        <f t="shared" ca="1" si="137"/>
        <v>124</v>
      </c>
      <c r="I445">
        <f t="shared" ca="1" si="138"/>
        <v>2020</v>
      </c>
      <c r="J445" s="2">
        <f t="shared" ca="1" si="139"/>
        <v>11492234</v>
      </c>
      <c r="K445" s="4">
        <f t="shared" ca="1" si="140"/>
        <v>2288019</v>
      </c>
      <c r="L445" t="str">
        <f t="shared" ca="1" si="141"/>
        <v>Michael Santos</v>
      </c>
      <c r="M445" t="str">
        <f t="shared" ca="1" si="142"/>
        <v>Individual</v>
      </c>
      <c r="N445" t="str">
        <f t="shared" ca="1" si="143"/>
        <v>Cash</v>
      </c>
      <c r="O445" s="1">
        <f t="shared" ca="1" si="144"/>
        <v>217</v>
      </c>
      <c r="P445" s="2">
        <f t="shared" ca="1" si="145"/>
        <v>68640.569999999992</v>
      </c>
      <c r="Q445" s="2">
        <f t="shared" ca="1" si="146"/>
        <v>-9204215</v>
      </c>
      <c r="R445" s="3">
        <f t="shared" ca="1" si="147"/>
        <v>18451.766129032258</v>
      </c>
      <c r="S445">
        <f t="shared" ca="1" si="148"/>
        <v>124</v>
      </c>
      <c r="T445" s="2">
        <f t="shared" ca="1" si="149"/>
        <v>11492234.800907377</v>
      </c>
      <c r="U445" s="17">
        <f t="shared" si="152"/>
        <v>2023</v>
      </c>
      <c r="V445" s="20" t="str">
        <f t="shared" si="150"/>
        <v>Oct-2023</v>
      </c>
    </row>
    <row r="446" spans="1:22" x14ac:dyDescent="0.3">
      <c r="A446" t="str">
        <f t="shared" si="151"/>
        <v>TX-00446</v>
      </c>
      <c r="B446" s="6">
        <v>45471</v>
      </c>
      <c r="C446" t="str">
        <f t="shared" ca="1" si="134"/>
        <v>Condo</v>
      </c>
      <c r="D446" s="1" t="str">
        <f t="shared" ca="1" si="135"/>
        <v>Laguna</v>
      </c>
      <c r="E446" s="1">
        <f t="shared" ca="1" si="155"/>
        <v>3</v>
      </c>
      <c r="F446" s="1">
        <f t="shared" ca="1" si="155"/>
        <v>2</v>
      </c>
      <c r="G446">
        <f t="shared" ca="1" si="136"/>
        <v>103</v>
      </c>
      <c r="H446">
        <f t="shared" ca="1" si="137"/>
        <v>232</v>
      </c>
      <c r="I446">
        <f t="shared" ca="1" si="138"/>
        <v>2011</v>
      </c>
      <c r="J446" s="2">
        <f t="shared" ca="1" si="139"/>
        <v>10456660</v>
      </c>
      <c r="K446" s="4">
        <f t="shared" ca="1" si="140"/>
        <v>12824069</v>
      </c>
      <c r="L446" t="str">
        <f t="shared" ca="1" si="141"/>
        <v>Daniel Cruz</v>
      </c>
      <c r="M446" t="str">
        <f t="shared" ca="1" si="142"/>
        <v>OFW</v>
      </c>
      <c r="N446" t="str">
        <f t="shared" ca="1" si="143"/>
        <v>Installment</v>
      </c>
      <c r="O446" s="1">
        <f t="shared" ca="1" si="144"/>
        <v>396</v>
      </c>
      <c r="P446" s="2">
        <f t="shared" ca="1" si="145"/>
        <v>384722.07</v>
      </c>
      <c r="Q446" s="2">
        <f t="shared" ca="1" si="146"/>
        <v>2367409</v>
      </c>
      <c r="R446" s="3">
        <f t="shared" ca="1" si="147"/>
        <v>124505.52427184465</v>
      </c>
      <c r="S446">
        <f t="shared" ca="1" si="148"/>
        <v>103</v>
      </c>
      <c r="T446" s="2">
        <f t="shared" ca="1" si="149"/>
        <v>10456659.773597974</v>
      </c>
      <c r="U446" s="17">
        <f t="shared" si="152"/>
        <v>2024</v>
      </c>
      <c r="V446" s="20" t="str">
        <f t="shared" si="150"/>
        <v>Jun-2024</v>
      </c>
    </row>
    <row r="447" spans="1:22" x14ac:dyDescent="0.3">
      <c r="A447" t="str">
        <f t="shared" si="151"/>
        <v>TX-00447</v>
      </c>
      <c r="B447" s="6">
        <v>44369</v>
      </c>
      <c r="C447" t="str">
        <f t="shared" ca="1" si="134"/>
        <v>House &amp; Lot</v>
      </c>
      <c r="D447" s="1" t="str">
        <f t="shared" ca="1" si="135"/>
        <v>Laguna</v>
      </c>
      <c r="E447" s="1">
        <f t="shared" ca="1" si="155"/>
        <v>2</v>
      </c>
      <c r="F447" s="1">
        <f t="shared" ca="1" si="155"/>
        <v>2</v>
      </c>
      <c r="G447">
        <f t="shared" ca="1" si="136"/>
        <v>180</v>
      </c>
      <c r="H447">
        <f t="shared" ca="1" si="137"/>
        <v>86</v>
      </c>
      <c r="I447">
        <f t="shared" ca="1" si="138"/>
        <v>2020</v>
      </c>
      <c r="J447" s="2">
        <f t="shared" ca="1" si="139"/>
        <v>3977239</v>
      </c>
      <c r="K447" s="4">
        <f t="shared" ca="1" si="140"/>
        <v>5336914</v>
      </c>
      <c r="L447" t="str">
        <f t="shared" ca="1" si="141"/>
        <v>Rachel Villanueva</v>
      </c>
      <c r="M447" t="str">
        <f t="shared" ca="1" si="142"/>
        <v>Individual</v>
      </c>
      <c r="N447" t="str">
        <f t="shared" ca="1" si="143"/>
        <v>Bank Loan</v>
      </c>
      <c r="O447" s="1">
        <f t="shared" ca="1" si="144"/>
        <v>237</v>
      </c>
      <c r="P447" s="2">
        <f t="shared" ca="1" si="145"/>
        <v>160107.41999999998</v>
      </c>
      <c r="Q447" s="2">
        <f t="shared" ca="1" si="146"/>
        <v>1359675</v>
      </c>
      <c r="R447" s="3">
        <f t="shared" ca="1" si="147"/>
        <v>62057.139534883718</v>
      </c>
      <c r="S447">
        <f t="shared" ca="1" si="148"/>
        <v>86</v>
      </c>
      <c r="T447" s="2">
        <f t="shared" ca="1" si="149"/>
        <v>3977238.658135958</v>
      </c>
      <c r="U447" s="17">
        <f t="shared" si="152"/>
        <v>2021</v>
      </c>
      <c r="V447" s="20" t="str">
        <f t="shared" si="150"/>
        <v>Jun-2021</v>
      </c>
    </row>
    <row r="448" spans="1:22" x14ac:dyDescent="0.3">
      <c r="A448" t="str">
        <f t="shared" si="151"/>
        <v>TX-00448</v>
      </c>
      <c r="B448" s="6">
        <v>44297</v>
      </c>
      <c r="C448" t="str">
        <f t="shared" ca="1" si="134"/>
        <v>Condo</v>
      </c>
      <c r="D448" s="1" t="str">
        <f t="shared" ca="1" si="135"/>
        <v>Makati</v>
      </c>
      <c r="E448" s="1">
        <f t="shared" ca="1" si="155"/>
        <v>2</v>
      </c>
      <c r="F448" s="1">
        <f t="shared" ca="1" si="155"/>
        <v>1</v>
      </c>
      <c r="G448">
        <f t="shared" ca="1" si="136"/>
        <v>109</v>
      </c>
      <c r="H448">
        <f t="shared" ca="1" si="137"/>
        <v>106</v>
      </c>
      <c r="I448">
        <f t="shared" ca="1" si="138"/>
        <v>2023</v>
      </c>
      <c r="J448" s="2">
        <f t="shared" ca="1" si="139"/>
        <v>2039943</v>
      </c>
      <c r="K448" s="4">
        <f t="shared" ca="1" si="140"/>
        <v>8855077</v>
      </c>
      <c r="L448" t="str">
        <f t="shared" ca="1" si="141"/>
        <v>Joy Ramos</v>
      </c>
      <c r="M448" t="str">
        <f t="shared" ca="1" si="142"/>
        <v>Corporation</v>
      </c>
      <c r="N448" t="str">
        <f t="shared" ca="1" si="143"/>
        <v>Bank Loan</v>
      </c>
      <c r="O448" s="1">
        <f t="shared" ca="1" si="144"/>
        <v>239</v>
      </c>
      <c r="P448" s="2">
        <f t="shared" ca="1" si="145"/>
        <v>265652.31</v>
      </c>
      <c r="Q448" s="2">
        <f t="shared" ca="1" si="146"/>
        <v>6815134</v>
      </c>
      <c r="R448" s="3">
        <f t="shared" ca="1" si="147"/>
        <v>81239.238532110088</v>
      </c>
      <c r="S448">
        <f t="shared" ca="1" si="148"/>
        <v>109</v>
      </c>
      <c r="T448" s="2">
        <f t="shared" ca="1" si="149"/>
        <v>2039939.659154692</v>
      </c>
      <c r="U448" s="17">
        <f t="shared" si="152"/>
        <v>2021</v>
      </c>
      <c r="V448" s="20" t="str">
        <f t="shared" si="150"/>
        <v>Apr-2021</v>
      </c>
    </row>
    <row r="449" spans="1:22" x14ac:dyDescent="0.3">
      <c r="A449" t="str">
        <f t="shared" si="151"/>
        <v>TX-00449</v>
      </c>
      <c r="B449" s="6">
        <v>44469</v>
      </c>
      <c r="C449" t="str">
        <f t="shared" ca="1" si="134"/>
        <v>House &amp; Lot</v>
      </c>
      <c r="D449" s="1" t="str">
        <f t="shared" ca="1" si="135"/>
        <v>Cavite</v>
      </c>
      <c r="E449" s="1">
        <f t="shared" ca="1" si="155"/>
        <v>1</v>
      </c>
      <c r="F449" s="1">
        <f t="shared" ca="1" si="155"/>
        <v>2</v>
      </c>
      <c r="G449">
        <f t="shared" ca="1" si="136"/>
        <v>115</v>
      </c>
      <c r="H449">
        <f t="shared" ca="1" si="137"/>
        <v>183</v>
      </c>
      <c r="I449">
        <f t="shared" ca="1" si="138"/>
        <v>2012</v>
      </c>
      <c r="J449" s="2">
        <f t="shared" ca="1" si="139"/>
        <v>5420317</v>
      </c>
      <c r="K449" s="4">
        <f t="shared" ca="1" si="140"/>
        <v>12436666</v>
      </c>
      <c r="L449" t="str">
        <f t="shared" ca="1" si="141"/>
        <v>Michelle Flores</v>
      </c>
      <c r="M449" t="str">
        <f t="shared" ca="1" si="142"/>
        <v>OFW</v>
      </c>
      <c r="N449" t="str">
        <f t="shared" ca="1" si="143"/>
        <v>Cash</v>
      </c>
      <c r="O449" s="1">
        <f t="shared" ca="1" si="144"/>
        <v>220</v>
      </c>
      <c r="P449" s="2">
        <f t="shared" ca="1" si="145"/>
        <v>373099.98</v>
      </c>
      <c r="Q449" s="2">
        <f t="shared" ca="1" si="146"/>
        <v>7016349</v>
      </c>
      <c r="R449" s="3">
        <f t="shared" ca="1" si="147"/>
        <v>67959.923497267766</v>
      </c>
      <c r="S449">
        <f t="shared" ca="1" si="148"/>
        <v>183</v>
      </c>
      <c r="T449" s="2">
        <f t="shared" ca="1" si="149"/>
        <v>5420315.7055463726</v>
      </c>
      <c r="U449" s="17">
        <f t="shared" si="152"/>
        <v>2021</v>
      </c>
      <c r="V449" s="20" t="str">
        <f t="shared" si="150"/>
        <v>Sep-2021</v>
      </c>
    </row>
    <row r="450" spans="1:22" x14ac:dyDescent="0.3">
      <c r="A450" t="str">
        <f t="shared" si="151"/>
        <v>TX-00450</v>
      </c>
      <c r="B450" s="6">
        <v>45939</v>
      </c>
      <c r="C450" t="str">
        <f t="shared" ref="C450:C501" ca="1" si="156">CHOOSE(RANDBETWEEN(1,4),"Condo","House &amp; Lot","Commercial","Land")</f>
        <v>House &amp; Lot</v>
      </c>
      <c r="D450" s="1" t="str">
        <f t="shared" ref="D450:D501" ca="1" si="157">CHOOSE(RANDBETWEEN(1,4),"Laguna","Makati","Cavite","Bulacan")</f>
        <v>Bulacan</v>
      </c>
      <c r="E450" s="1">
        <f t="shared" ca="1" si="155"/>
        <v>1</v>
      </c>
      <c r="F450" s="1">
        <f t="shared" ca="1" si="155"/>
        <v>4</v>
      </c>
      <c r="G450">
        <f t="shared" ref="G450:G501" ca="1" si="158">RANDBETWEEN(40,200)</f>
        <v>128</v>
      </c>
      <c r="H450">
        <f t="shared" ref="H450:H501" ca="1" si="159">RANDBETWEEN(50,250)</f>
        <v>116</v>
      </c>
      <c r="I450">
        <f t="shared" ref="I450:I501" ca="1" si="160">RANDBETWEEN(2010,2023)</f>
        <v>2013</v>
      </c>
      <c r="J450" s="2">
        <f t="shared" ref="J450:J501" ca="1" si="161">RANDBETWEEN(2000000,15000000)</f>
        <v>14795186</v>
      </c>
      <c r="K450" s="4">
        <f t="shared" ref="K450:K501" ca="1" si="162">RANDBETWEEN(1500000,13000000)</f>
        <v>8047910</v>
      </c>
      <c r="L450" t="str">
        <f t="shared" ref="L450:L501" ca="1" si="163">CHOOSE(RANDBETWEEN(1,9),"John Dela Cruz", "Michael Santos", "Mark Reyes", "Daniel Cruz", "Mary Garcia","Anna Mendoza", "Michelle Flores", "Rachel Villanueva", "Joy Ramos")</f>
        <v>Mark Reyes</v>
      </c>
      <c r="M450" t="str">
        <f t="shared" ref="M450:M501" ca="1" si="164">CHOOSE(RANDBETWEEN(1,4),"Individual", "Corporation", "OFW", "Investor")</f>
        <v>Corporation</v>
      </c>
      <c r="N450" t="str">
        <f t="shared" ref="N450:N501" ca="1" si="165">CHOOSE(RANDBETWEEN(1,4),"Cash", "Bank Loan", "Pag-IBIG Loan", "Installment")</f>
        <v>Installment</v>
      </c>
      <c r="O450" s="1">
        <f t="shared" ref="O450:O501" ca="1" si="166">RANDBETWEEN(100,400)</f>
        <v>121</v>
      </c>
      <c r="P450" s="2">
        <f t="shared" ref="P450:P501" ca="1" si="167">SUM(K450*0.03)</f>
        <v>241437.3</v>
      </c>
      <c r="Q450" s="2">
        <f t="shared" ref="Q450:Q501" ca="1" si="168">SUM(K450-J450)</f>
        <v>-6747276</v>
      </c>
      <c r="R450" s="3">
        <f t="shared" ref="R450:R501" ca="1" si="169">SUM(K450/S450)</f>
        <v>69378.534482758623</v>
      </c>
      <c r="S450">
        <f t="shared" ref="S450:S501" ca="1" si="170">IF(C450="Condo", G450,H450)</f>
        <v>116</v>
      </c>
      <c r="T450" s="2">
        <f t="shared" ref="T450:T501" ca="1" si="171">SUM(J450-Q450/J450)</f>
        <v>14795186.456045365</v>
      </c>
      <c r="U450" s="17">
        <f t="shared" si="152"/>
        <v>2025</v>
      </c>
      <c r="V450" s="20" t="str">
        <f t="shared" ref="V450:V501" si="172">TEXT(B450,"mmm-yyyy")</f>
        <v>Oct-2025</v>
      </c>
    </row>
    <row r="451" spans="1:22" x14ac:dyDescent="0.3">
      <c r="A451" t="str">
        <f t="shared" ref="A451:A501" si="173">"TX-" &amp; TEXT(ROW(),"00000")</f>
        <v>TX-00451</v>
      </c>
      <c r="B451" s="6">
        <v>45768</v>
      </c>
      <c r="C451" t="str">
        <f t="shared" ca="1" si="156"/>
        <v>House &amp; Lot</v>
      </c>
      <c r="D451" s="1" t="str">
        <f t="shared" ca="1" si="157"/>
        <v>Laguna</v>
      </c>
      <c r="E451" s="1">
        <f t="shared" ca="1" si="155"/>
        <v>3</v>
      </c>
      <c r="F451" s="1">
        <f t="shared" ca="1" si="155"/>
        <v>1</v>
      </c>
      <c r="G451">
        <f t="shared" ca="1" si="158"/>
        <v>98</v>
      </c>
      <c r="H451">
        <f t="shared" ca="1" si="159"/>
        <v>186</v>
      </c>
      <c r="I451">
        <f t="shared" ca="1" si="160"/>
        <v>2010</v>
      </c>
      <c r="J451" s="2">
        <f t="shared" ca="1" si="161"/>
        <v>3736616</v>
      </c>
      <c r="K451" s="4">
        <f t="shared" ca="1" si="162"/>
        <v>2584065</v>
      </c>
      <c r="L451" t="str">
        <f t="shared" ca="1" si="163"/>
        <v>Michael Santos</v>
      </c>
      <c r="M451" t="str">
        <f t="shared" ca="1" si="164"/>
        <v>Individual</v>
      </c>
      <c r="N451" t="str">
        <f t="shared" ca="1" si="165"/>
        <v>Pag-IBIG Loan</v>
      </c>
      <c r="O451" s="1">
        <f t="shared" ca="1" si="166"/>
        <v>142</v>
      </c>
      <c r="P451" s="2">
        <f t="shared" ca="1" si="167"/>
        <v>77521.95</v>
      </c>
      <c r="Q451" s="2">
        <f t="shared" ca="1" si="168"/>
        <v>-1152551</v>
      </c>
      <c r="R451" s="3">
        <f t="shared" ca="1" si="169"/>
        <v>13892.822580645161</v>
      </c>
      <c r="S451">
        <f t="shared" ca="1" si="170"/>
        <v>186</v>
      </c>
      <c r="T451" s="2">
        <f t="shared" ca="1" si="171"/>
        <v>3736616.3084478043</v>
      </c>
      <c r="U451" s="17">
        <f t="shared" ref="U451:U501" si="174">YEAR(B451)</f>
        <v>2025</v>
      </c>
      <c r="V451" s="20" t="str">
        <f t="shared" si="172"/>
        <v>Apr-2025</v>
      </c>
    </row>
    <row r="452" spans="1:22" x14ac:dyDescent="0.3">
      <c r="A452" t="str">
        <f t="shared" si="173"/>
        <v>TX-00452</v>
      </c>
      <c r="B452" s="6">
        <v>44746</v>
      </c>
      <c r="C452" t="str">
        <f t="shared" ca="1" si="156"/>
        <v>House &amp; Lot</v>
      </c>
      <c r="D452" s="1" t="str">
        <f t="shared" ca="1" si="157"/>
        <v>Bulacan</v>
      </c>
      <c r="E452" s="1">
        <f t="shared" ca="1" si="155"/>
        <v>1</v>
      </c>
      <c r="F452" s="1">
        <f t="shared" ca="1" si="155"/>
        <v>2</v>
      </c>
      <c r="G452">
        <f t="shared" ca="1" si="158"/>
        <v>45</v>
      </c>
      <c r="H452">
        <f t="shared" ca="1" si="159"/>
        <v>96</v>
      </c>
      <c r="I452">
        <f t="shared" ca="1" si="160"/>
        <v>2017</v>
      </c>
      <c r="J452" s="2">
        <f t="shared" ca="1" si="161"/>
        <v>6881961</v>
      </c>
      <c r="K452" s="4">
        <f t="shared" ca="1" si="162"/>
        <v>8519326</v>
      </c>
      <c r="L452" t="str">
        <f t="shared" ca="1" si="163"/>
        <v>Anna Mendoza</v>
      </c>
      <c r="M452" t="str">
        <f t="shared" ca="1" si="164"/>
        <v>Corporation</v>
      </c>
      <c r="N452" t="str">
        <f t="shared" ca="1" si="165"/>
        <v>Pag-IBIG Loan</v>
      </c>
      <c r="O452" s="1">
        <f t="shared" ca="1" si="166"/>
        <v>253</v>
      </c>
      <c r="P452" s="2">
        <f t="shared" ca="1" si="167"/>
        <v>255579.78</v>
      </c>
      <c r="Q452" s="2">
        <f t="shared" ca="1" si="168"/>
        <v>1637365</v>
      </c>
      <c r="R452" s="3">
        <f t="shared" ca="1" si="169"/>
        <v>88742.979166666672</v>
      </c>
      <c r="S452">
        <f t="shared" ca="1" si="170"/>
        <v>96</v>
      </c>
      <c r="T452" s="2">
        <f t="shared" ca="1" si="171"/>
        <v>6881960.7620787155</v>
      </c>
      <c r="U452" s="17">
        <f t="shared" si="174"/>
        <v>2022</v>
      </c>
      <c r="V452" s="20" t="str">
        <f t="shared" si="172"/>
        <v>Jul-2022</v>
      </c>
    </row>
    <row r="453" spans="1:22" x14ac:dyDescent="0.3">
      <c r="A453" t="str">
        <f t="shared" si="173"/>
        <v>TX-00453</v>
      </c>
      <c r="B453" s="6">
        <v>43857</v>
      </c>
      <c r="C453" t="str">
        <f t="shared" ca="1" si="156"/>
        <v>Land</v>
      </c>
      <c r="D453" s="1" t="str">
        <f t="shared" ca="1" si="157"/>
        <v>Cavite</v>
      </c>
      <c r="E453" s="1">
        <f t="shared" ca="1" si="155"/>
        <v>3</v>
      </c>
      <c r="F453" s="1">
        <f t="shared" ca="1" si="155"/>
        <v>2</v>
      </c>
      <c r="G453">
        <f t="shared" ca="1" si="158"/>
        <v>166</v>
      </c>
      <c r="H453">
        <f t="shared" ca="1" si="159"/>
        <v>53</v>
      </c>
      <c r="I453">
        <f t="shared" ca="1" si="160"/>
        <v>2018</v>
      </c>
      <c r="J453" s="2">
        <f t="shared" ca="1" si="161"/>
        <v>4832911</v>
      </c>
      <c r="K453" s="4">
        <f t="shared" ca="1" si="162"/>
        <v>4207925</v>
      </c>
      <c r="L453" t="str">
        <f t="shared" ca="1" si="163"/>
        <v>Michael Santos</v>
      </c>
      <c r="M453" t="str">
        <f t="shared" ca="1" si="164"/>
        <v>Corporation</v>
      </c>
      <c r="N453" t="str">
        <f t="shared" ca="1" si="165"/>
        <v>Installment</v>
      </c>
      <c r="O453" s="1">
        <f t="shared" ca="1" si="166"/>
        <v>225</v>
      </c>
      <c r="P453" s="2">
        <f t="shared" ca="1" si="167"/>
        <v>126237.75</v>
      </c>
      <c r="Q453" s="2">
        <f t="shared" ca="1" si="168"/>
        <v>-624986</v>
      </c>
      <c r="R453" s="3">
        <f t="shared" ca="1" si="169"/>
        <v>79394.811320754714</v>
      </c>
      <c r="S453">
        <f t="shared" ca="1" si="170"/>
        <v>53</v>
      </c>
      <c r="T453" s="2">
        <f t="shared" ca="1" si="171"/>
        <v>4832911.1293187477</v>
      </c>
      <c r="U453" s="17">
        <f t="shared" si="174"/>
        <v>2020</v>
      </c>
      <c r="V453" s="20" t="str">
        <f t="shared" si="172"/>
        <v>Jan-2020</v>
      </c>
    </row>
    <row r="454" spans="1:22" x14ac:dyDescent="0.3">
      <c r="A454" t="str">
        <f t="shared" si="173"/>
        <v>TX-00454</v>
      </c>
      <c r="B454" s="6">
        <v>45142</v>
      </c>
      <c r="C454" t="str">
        <f t="shared" ca="1" si="156"/>
        <v>Condo</v>
      </c>
      <c r="D454" s="1" t="str">
        <f t="shared" ca="1" si="157"/>
        <v>Bulacan</v>
      </c>
      <c r="E454" s="1">
        <f t="shared" ca="1" si="155"/>
        <v>3</v>
      </c>
      <c r="F454" s="1">
        <f t="shared" ca="1" si="155"/>
        <v>4</v>
      </c>
      <c r="G454">
        <f t="shared" ca="1" si="158"/>
        <v>151</v>
      </c>
      <c r="H454">
        <f t="shared" ca="1" si="159"/>
        <v>242</v>
      </c>
      <c r="I454">
        <f t="shared" ca="1" si="160"/>
        <v>2010</v>
      </c>
      <c r="J454" s="2">
        <f t="shared" ca="1" si="161"/>
        <v>12637562</v>
      </c>
      <c r="K454" s="4">
        <f t="shared" ca="1" si="162"/>
        <v>8849413</v>
      </c>
      <c r="L454" t="str">
        <f t="shared" ca="1" si="163"/>
        <v>Mark Reyes</v>
      </c>
      <c r="M454" t="str">
        <f t="shared" ca="1" si="164"/>
        <v>OFW</v>
      </c>
      <c r="N454" t="str">
        <f t="shared" ca="1" si="165"/>
        <v>Pag-IBIG Loan</v>
      </c>
      <c r="O454" s="1">
        <f t="shared" ca="1" si="166"/>
        <v>267</v>
      </c>
      <c r="P454" s="2">
        <f t="shared" ca="1" si="167"/>
        <v>265482.39</v>
      </c>
      <c r="Q454" s="2">
        <f t="shared" ca="1" si="168"/>
        <v>-3788149</v>
      </c>
      <c r="R454" s="3">
        <f t="shared" ca="1" si="169"/>
        <v>58605.384105960264</v>
      </c>
      <c r="S454">
        <f t="shared" ca="1" si="170"/>
        <v>151</v>
      </c>
      <c r="T454" s="2">
        <f t="shared" ca="1" si="171"/>
        <v>12637562.299753148</v>
      </c>
      <c r="U454" s="17">
        <f t="shared" si="174"/>
        <v>2023</v>
      </c>
      <c r="V454" s="20" t="str">
        <f t="shared" si="172"/>
        <v>Aug-2023</v>
      </c>
    </row>
    <row r="455" spans="1:22" x14ac:dyDescent="0.3">
      <c r="A455" t="str">
        <f t="shared" si="173"/>
        <v>TX-00455</v>
      </c>
      <c r="B455" s="6">
        <v>44560</v>
      </c>
      <c r="C455" t="str">
        <f t="shared" ca="1" si="156"/>
        <v>Commercial</v>
      </c>
      <c r="D455" s="1" t="str">
        <f t="shared" ca="1" si="157"/>
        <v>Makati</v>
      </c>
      <c r="E455" s="1">
        <f t="shared" ca="1" si="155"/>
        <v>2</v>
      </c>
      <c r="F455" s="1">
        <f t="shared" ca="1" si="155"/>
        <v>4</v>
      </c>
      <c r="G455">
        <f t="shared" ca="1" si="158"/>
        <v>159</v>
      </c>
      <c r="H455">
        <f t="shared" ca="1" si="159"/>
        <v>152</v>
      </c>
      <c r="I455">
        <f t="shared" ca="1" si="160"/>
        <v>2021</v>
      </c>
      <c r="J455" s="2">
        <f t="shared" ca="1" si="161"/>
        <v>4060390</v>
      </c>
      <c r="K455" s="4">
        <f t="shared" ca="1" si="162"/>
        <v>10475754</v>
      </c>
      <c r="L455" t="str">
        <f t="shared" ca="1" si="163"/>
        <v>Mary Garcia</v>
      </c>
      <c r="M455" t="str">
        <f t="shared" ca="1" si="164"/>
        <v>Individual</v>
      </c>
      <c r="N455" t="str">
        <f t="shared" ca="1" si="165"/>
        <v>Installment</v>
      </c>
      <c r="O455" s="1">
        <f t="shared" ca="1" si="166"/>
        <v>213</v>
      </c>
      <c r="P455" s="2">
        <f t="shared" ca="1" si="167"/>
        <v>314272.62</v>
      </c>
      <c r="Q455" s="2">
        <f t="shared" ca="1" si="168"/>
        <v>6415364</v>
      </c>
      <c r="R455" s="3">
        <f t="shared" ca="1" si="169"/>
        <v>68919.43421052632</v>
      </c>
      <c r="S455">
        <f t="shared" ca="1" si="170"/>
        <v>152</v>
      </c>
      <c r="T455" s="2">
        <f t="shared" ca="1" si="171"/>
        <v>4060388.4200128559</v>
      </c>
      <c r="U455" s="17">
        <f t="shared" si="174"/>
        <v>2021</v>
      </c>
      <c r="V455" s="20" t="str">
        <f t="shared" si="172"/>
        <v>Dec-2021</v>
      </c>
    </row>
    <row r="456" spans="1:22" x14ac:dyDescent="0.3">
      <c r="A456" t="str">
        <f t="shared" si="173"/>
        <v>TX-00456</v>
      </c>
      <c r="B456" s="6">
        <v>43121</v>
      </c>
      <c r="C456" t="str">
        <f t="shared" ca="1" si="156"/>
        <v>Condo</v>
      </c>
      <c r="D456" s="1" t="str">
        <f t="shared" ca="1" si="157"/>
        <v>Makati</v>
      </c>
      <c r="E456" s="1">
        <f t="shared" ca="1" si="155"/>
        <v>1</v>
      </c>
      <c r="F456" s="1">
        <f t="shared" ca="1" si="155"/>
        <v>1</v>
      </c>
      <c r="G456">
        <f t="shared" ca="1" si="158"/>
        <v>94</v>
      </c>
      <c r="H456">
        <f t="shared" ca="1" si="159"/>
        <v>168</v>
      </c>
      <c r="I456">
        <f t="shared" ca="1" si="160"/>
        <v>2020</v>
      </c>
      <c r="J456" s="2">
        <f t="shared" ca="1" si="161"/>
        <v>11806213</v>
      </c>
      <c r="K456" s="4">
        <f t="shared" ca="1" si="162"/>
        <v>11337053</v>
      </c>
      <c r="L456" t="str">
        <f t="shared" ca="1" si="163"/>
        <v>Mary Garcia</v>
      </c>
      <c r="M456" t="str">
        <f t="shared" ca="1" si="164"/>
        <v>Individual</v>
      </c>
      <c r="N456" t="str">
        <f t="shared" ca="1" si="165"/>
        <v>Pag-IBIG Loan</v>
      </c>
      <c r="O456" s="1">
        <f t="shared" ca="1" si="166"/>
        <v>394</v>
      </c>
      <c r="P456" s="2">
        <f t="shared" ca="1" si="167"/>
        <v>340111.58999999997</v>
      </c>
      <c r="Q456" s="2">
        <f t="shared" ca="1" si="168"/>
        <v>-469160</v>
      </c>
      <c r="R456" s="3">
        <f t="shared" ca="1" si="169"/>
        <v>120606.94680851063</v>
      </c>
      <c r="S456">
        <f t="shared" ca="1" si="170"/>
        <v>94</v>
      </c>
      <c r="T456" s="2">
        <f t="shared" ca="1" si="171"/>
        <v>11806213.039738398</v>
      </c>
      <c r="U456" s="17">
        <f t="shared" si="174"/>
        <v>2018</v>
      </c>
      <c r="V456" s="20" t="str">
        <f t="shared" si="172"/>
        <v>Jan-2018</v>
      </c>
    </row>
    <row r="457" spans="1:22" x14ac:dyDescent="0.3">
      <c r="A457" t="str">
        <f t="shared" si="173"/>
        <v>TX-00457</v>
      </c>
      <c r="B457" s="6">
        <v>43443</v>
      </c>
      <c r="C457" t="str">
        <f t="shared" ca="1" si="156"/>
        <v>Land</v>
      </c>
      <c r="D457" s="1" t="str">
        <f t="shared" ca="1" si="157"/>
        <v>Makati</v>
      </c>
      <c r="E457" s="1">
        <f t="shared" ca="1" si="155"/>
        <v>1</v>
      </c>
      <c r="F457" s="1">
        <f t="shared" ca="1" si="155"/>
        <v>1</v>
      </c>
      <c r="G457">
        <f t="shared" ca="1" si="158"/>
        <v>145</v>
      </c>
      <c r="H457">
        <f t="shared" ca="1" si="159"/>
        <v>109</v>
      </c>
      <c r="I457">
        <f t="shared" ca="1" si="160"/>
        <v>2015</v>
      </c>
      <c r="J457" s="2">
        <f t="shared" ca="1" si="161"/>
        <v>11323822</v>
      </c>
      <c r="K457" s="4">
        <f t="shared" ca="1" si="162"/>
        <v>9561785</v>
      </c>
      <c r="L457" t="str">
        <f t="shared" ca="1" si="163"/>
        <v>Rachel Villanueva</v>
      </c>
      <c r="M457" t="str">
        <f t="shared" ca="1" si="164"/>
        <v>OFW</v>
      </c>
      <c r="N457" t="str">
        <f t="shared" ca="1" si="165"/>
        <v>Cash</v>
      </c>
      <c r="O457" s="1">
        <f t="shared" ca="1" si="166"/>
        <v>270</v>
      </c>
      <c r="P457" s="2">
        <f t="shared" ca="1" si="167"/>
        <v>286853.55</v>
      </c>
      <c r="Q457" s="2">
        <f t="shared" ca="1" si="168"/>
        <v>-1762037</v>
      </c>
      <c r="R457" s="3">
        <f t="shared" ca="1" si="169"/>
        <v>87722.798165137618</v>
      </c>
      <c r="S457">
        <f t="shared" ca="1" si="170"/>
        <v>109</v>
      </c>
      <c r="T457" s="2">
        <f t="shared" ca="1" si="171"/>
        <v>11323822.155604443</v>
      </c>
      <c r="U457" s="17">
        <f t="shared" si="174"/>
        <v>2018</v>
      </c>
      <c r="V457" s="20" t="str">
        <f t="shared" si="172"/>
        <v>Dec-2018</v>
      </c>
    </row>
    <row r="458" spans="1:22" x14ac:dyDescent="0.3">
      <c r="A458" t="str">
        <f t="shared" si="173"/>
        <v>TX-00458</v>
      </c>
      <c r="B458" s="6">
        <v>44620</v>
      </c>
      <c r="C458" t="str">
        <f t="shared" ca="1" si="156"/>
        <v>House &amp; Lot</v>
      </c>
      <c r="D458" s="1" t="str">
        <f t="shared" ca="1" si="157"/>
        <v>Cavite</v>
      </c>
      <c r="E458" s="1">
        <f t="shared" ca="1" si="155"/>
        <v>1</v>
      </c>
      <c r="F458" s="1">
        <f t="shared" ca="1" si="155"/>
        <v>4</v>
      </c>
      <c r="G458">
        <f t="shared" ca="1" si="158"/>
        <v>196</v>
      </c>
      <c r="H458">
        <f t="shared" ca="1" si="159"/>
        <v>129</v>
      </c>
      <c r="I458">
        <f t="shared" ca="1" si="160"/>
        <v>2016</v>
      </c>
      <c r="J458" s="2">
        <f t="shared" ca="1" si="161"/>
        <v>8615418</v>
      </c>
      <c r="K458" s="4">
        <f t="shared" ca="1" si="162"/>
        <v>10604988</v>
      </c>
      <c r="L458" t="str">
        <f t="shared" ca="1" si="163"/>
        <v>Rachel Villanueva</v>
      </c>
      <c r="M458" t="str">
        <f t="shared" ca="1" si="164"/>
        <v>OFW</v>
      </c>
      <c r="N458" t="str">
        <f t="shared" ca="1" si="165"/>
        <v>Pag-IBIG Loan</v>
      </c>
      <c r="O458" s="1">
        <f t="shared" ca="1" si="166"/>
        <v>184</v>
      </c>
      <c r="P458" s="2">
        <f t="shared" ca="1" si="167"/>
        <v>318149.64</v>
      </c>
      <c r="Q458" s="2">
        <f t="shared" ca="1" si="168"/>
        <v>1989570</v>
      </c>
      <c r="R458" s="3">
        <f t="shared" ca="1" si="169"/>
        <v>82209.209302325587</v>
      </c>
      <c r="S458">
        <f t="shared" ca="1" si="170"/>
        <v>129</v>
      </c>
      <c r="T458" s="2">
        <f t="shared" ca="1" si="171"/>
        <v>8615417.7690686621</v>
      </c>
      <c r="U458" s="17">
        <f t="shared" si="174"/>
        <v>2022</v>
      </c>
      <c r="V458" s="20" t="str">
        <f t="shared" si="172"/>
        <v>Feb-2022</v>
      </c>
    </row>
    <row r="459" spans="1:22" x14ac:dyDescent="0.3">
      <c r="A459" t="str">
        <f t="shared" si="173"/>
        <v>TX-00459</v>
      </c>
      <c r="B459" s="6">
        <v>44958</v>
      </c>
      <c r="C459" t="str">
        <f t="shared" ca="1" si="156"/>
        <v>Condo</v>
      </c>
      <c r="D459" s="1" t="str">
        <f t="shared" ca="1" si="157"/>
        <v>Bulacan</v>
      </c>
      <c r="E459" s="1">
        <f t="shared" ca="1" si="155"/>
        <v>4</v>
      </c>
      <c r="F459" s="1">
        <f t="shared" ca="1" si="155"/>
        <v>3</v>
      </c>
      <c r="G459">
        <f t="shared" ca="1" si="158"/>
        <v>102</v>
      </c>
      <c r="H459">
        <f t="shared" ca="1" si="159"/>
        <v>192</v>
      </c>
      <c r="I459">
        <f t="shared" ca="1" si="160"/>
        <v>2012</v>
      </c>
      <c r="J459" s="2">
        <f t="shared" ca="1" si="161"/>
        <v>10338790</v>
      </c>
      <c r="K459" s="4">
        <f t="shared" ca="1" si="162"/>
        <v>1618087</v>
      </c>
      <c r="L459" t="str">
        <f t="shared" ca="1" si="163"/>
        <v>Mark Reyes</v>
      </c>
      <c r="M459" t="str">
        <f t="shared" ca="1" si="164"/>
        <v>Investor</v>
      </c>
      <c r="N459" t="str">
        <f t="shared" ca="1" si="165"/>
        <v>Pag-IBIG Loan</v>
      </c>
      <c r="O459" s="1">
        <f t="shared" ca="1" si="166"/>
        <v>259</v>
      </c>
      <c r="P459" s="2">
        <f t="shared" ca="1" si="167"/>
        <v>48542.61</v>
      </c>
      <c r="Q459" s="2">
        <f t="shared" ca="1" si="168"/>
        <v>-8720703</v>
      </c>
      <c r="R459" s="3">
        <f t="shared" ca="1" si="169"/>
        <v>15863.598039215687</v>
      </c>
      <c r="S459">
        <f t="shared" ca="1" si="170"/>
        <v>102</v>
      </c>
      <c r="T459" s="2">
        <f t="shared" ca="1" si="171"/>
        <v>10338790.843493581</v>
      </c>
      <c r="U459" s="17">
        <f t="shared" si="174"/>
        <v>2023</v>
      </c>
      <c r="V459" s="20" t="str">
        <f t="shared" si="172"/>
        <v>Feb-2023</v>
      </c>
    </row>
    <row r="460" spans="1:22" x14ac:dyDescent="0.3">
      <c r="A460" t="str">
        <f t="shared" si="173"/>
        <v>TX-00460</v>
      </c>
      <c r="B460" s="6">
        <v>44400</v>
      </c>
      <c r="C460" t="str">
        <f t="shared" ca="1" si="156"/>
        <v>Land</v>
      </c>
      <c r="D460" s="1" t="str">
        <f t="shared" ca="1" si="157"/>
        <v>Makati</v>
      </c>
      <c r="E460" s="1">
        <f t="shared" ca="1" si="155"/>
        <v>2</v>
      </c>
      <c r="F460" s="1">
        <f t="shared" ca="1" si="155"/>
        <v>3</v>
      </c>
      <c r="G460">
        <f t="shared" ca="1" si="158"/>
        <v>100</v>
      </c>
      <c r="H460">
        <f t="shared" ca="1" si="159"/>
        <v>139</v>
      </c>
      <c r="I460">
        <f t="shared" ca="1" si="160"/>
        <v>2015</v>
      </c>
      <c r="J460" s="2">
        <f t="shared" ca="1" si="161"/>
        <v>6986160</v>
      </c>
      <c r="K460" s="4">
        <f t="shared" ca="1" si="162"/>
        <v>6853362</v>
      </c>
      <c r="L460" t="str">
        <f t="shared" ca="1" si="163"/>
        <v>Anna Mendoza</v>
      </c>
      <c r="M460" t="str">
        <f t="shared" ca="1" si="164"/>
        <v>Investor</v>
      </c>
      <c r="N460" t="str">
        <f t="shared" ca="1" si="165"/>
        <v>Pag-IBIG Loan</v>
      </c>
      <c r="O460" s="1">
        <f t="shared" ca="1" si="166"/>
        <v>273</v>
      </c>
      <c r="P460" s="2">
        <f t="shared" ca="1" si="167"/>
        <v>205600.86</v>
      </c>
      <c r="Q460" s="2">
        <f t="shared" ca="1" si="168"/>
        <v>-132798</v>
      </c>
      <c r="R460" s="3">
        <f t="shared" ca="1" si="169"/>
        <v>49304.762589928061</v>
      </c>
      <c r="S460">
        <f t="shared" ca="1" si="170"/>
        <v>139</v>
      </c>
      <c r="T460" s="2">
        <f t="shared" ca="1" si="171"/>
        <v>6986160.0190087259</v>
      </c>
      <c r="U460" s="17">
        <f t="shared" si="174"/>
        <v>2021</v>
      </c>
      <c r="V460" s="20" t="str">
        <f t="shared" si="172"/>
        <v>Jul-2021</v>
      </c>
    </row>
    <row r="461" spans="1:22" x14ac:dyDescent="0.3">
      <c r="A461" t="str">
        <f t="shared" si="173"/>
        <v>TX-00461</v>
      </c>
      <c r="B461" s="6">
        <v>44242</v>
      </c>
      <c r="C461" t="str">
        <f t="shared" ca="1" si="156"/>
        <v>Land</v>
      </c>
      <c r="D461" s="1" t="str">
        <f t="shared" ca="1" si="157"/>
        <v>Cavite</v>
      </c>
      <c r="E461" s="1">
        <f t="shared" ca="1" si="155"/>
        <v>1</v>
      </c>
      <c r="F461" s="1">
        <f t="shared" ca="1" si="155"/>
        <v>1</v>
      </c>
      <c r="G461">
        <f t="shared" ca="1" si="158"/>
        <v>199</v>
      </c>
      <c r="H461">
        <f t="shared" ca="1" si="159"/>
        <v>106</v>
      </c>
      <c r="I461">
        <f t="shared" ca="1" si="160"/>
        <v>2016</v>
      </c>
      <c r="J461" s="2">
        <f t="shared" ca="1" si="161"/>
        <v>10957571</v>
      </c>
      <c r="K461" s="4">
        <f t="shared" ca="1" si="162"/>
        <v>9513674</v>
      </c>
      <c r="L461" t="str">
        <f t="shared" ca="1" si="163"/>
        <v>Anna Mendoza</v>
      </c>
      <c r="M461" t="str">
        <f t="shared" ca="1" si="164"/>
        <v>Individual</v>
      </c>
      <c r="N461" t="str">
        <f t="shared" ca="1" si="165"/>
        <v>Installment</v>
      </c>
      <c r="O461" s="1">
        <f t="shared" ca="1" si="166"/>
        <v>297</v>
      </c>
      <c r="P461" s="2">
        <f t="shared" ca="1" si="167"/>
        <v>285410.21999999997</v>
      </c>
      <c r="Q461" s="2">
        <f t="shared" ca="1" si="168"/>
        <v>-1443897</v>
      </c>
      <c r="R461" s="3">
        <f t="shared" ca="1" si="169"/>
        <v>89751.641509433961</v>
      </c>
      <c r="S461">
        <f t="shared" ca="1" si="170"/>
        <v>106</v>
      </c>
      <c r="T461" s="2">
        <f t="shared" ca="1" si="171"/>
        <v>10957571.131771632</v>
      </c>
      <c r="U461" s="17">
        <f t="shared" si="174"/>
        <v>2021</v>
      </c>
      <c r="V461" s="20" t="str">
        <f t="shared" si="172"/>
        <v>Feb-2021</v>
      </c>
    </row>
    <row r="462" spans="1:22" x14ac:dyDescent="0.3">
      <c r="A462" t="str">
        <f t="shared" si="173"/>
        <v>TX-00462</v>
      </c>
      <c r="B462" s="6">
        <v>44166</v>
      </c>
      <c r="C462" t="str">
        <f t="shared" ca="1" si="156"/>
        <v>Condo</v>
      </c>
      <c r="D462" s="1" t="str">
        <f t="shared" ca="1" si="157"/>
        <v>Bulacan</v>
      </c>
      <c r="E462" s="1">
        <f t="shared" ref="E462:F481" ca="1" si="175">RANDBETWEEN(1,4)</f>
        <v>2</v>
      </c>
      <c r="F462" s="1">
        <f t="shared" ca="1" si="175"/>
        <v>4</v>
      </c>
      <c r="G462">
        <f t="shared" ca="1" si="158"/>
        <v>147</v>
      </c>
      <c r="H462">
        <f t="shared" ca="1" si="159"/>
        <v>98</v>
      </c>
      <c r="I462">
        <f t="shared" ca="1" si="160"/>
        <v>2016</v>
      </c>
      <c r="J462" s="2">
        <f t="shared" ca="1" si="161"/>
        <v>7714703</v>
      </c>
      <c r="K462" s="4">
        <f t="shared" ca="1" si="162"/>
        <v>6986902</v>
      </c>
      <c r="L462" t="str">
        <f t="shared" ca="1" si="163"/>
        <v>Rachel Villanueva</v>
      </c>
      <c r="M462" t="str">
        <f t="shared" ca="1" si="164"/>
        <v>OFW</v>
      </c>
      <c r="N462" t="str">
        <f t="shared" ca="1" si="165"/>
        <v>Installment</v>
      </c>
      <c r="O462" s="1">
        <f t="shared" ca="1" si="166"/>
        <v>271</v>
      </c>
      <c r="P462" s="2">
        <f t="shared" ca="1" si="167"/>
        <v>209607.06</v>
      </c>
      <c r="Q462" s="2">
        <f t="shared" ca="1" si="168"/>
        <v>-727801</v>
      </c>
      <c r="R462" s="3">
        <f t="shared" ca="1" si="169"/>
        <v>47529.945578231294</v>
      </c>
      <c r="S462">
        <f t="shared" ca="1" si="170"/>
        <v>147</v>
      </c>
      <c r="T462" s="2">
        <f t="shared" ca="1" si="171"/>
        <v>7714703.0943394713</v>
      </c>
      <c r="U462" s="17">
        <f t="shared" si="174"/>
        <v>2020</v>
      </c>
      <c r="V462" s="20" t="str">
        <f t="shared" si="172"/>
        <v>Dec-2020</v>
      </c>
    </row>
    <row r="463" spans="1:22" x14ac:dyDescent="0.3">
      <c r="A463" t="str">
        <f t="shared" si="173"/>
        <v>TX-00463</v>
      </c>
      <c r="B463" s="6">
        <v>43416</v>
      </c>
      <c r="C463" t="str">
        <f t="shared" ca="1" si="156"/>
        <v>Commercial</v>
      </c>
      <c r="D463" s="1" t="str">
        <f t="shared" ca="1" si="157"/>
        <v>Laguna</v>
      </c>
      <c r="E463" s="1">
        <f t="shared" ca="1" si="175"/>
        <v>3</v>
      </c>
      <c r="F463" s="1">
        <f t="shared" ca="1" si="175"/>
        <v>4</v>
      </c>
      <c r="G463">
        <f t="shared" ca="1" si="158"/>
        <v>111</v>
      </c>
      <c r="H463">
        <f t="shared" ca="1" si="159"/>
        <v>148</v>
      </c>
      <c r="I463">
        <f t="shared" ca="1" si="160"/>
        <v>2010</v>
      </c>
      <c r="J463" s="2">
        <f t="shared" ca="1" si="161"/>
        <v>9854302</v>
      </c>
      <c r="K463" s="4">
        <f t="shared" ca="1" si="162"/>
        <v>5191698</v>
      </c>
      <c r="L463" t="str">
        <f t="shared" ca="1" si="163"/>
        <v>Daniel Cruz</v>
      </c>
      <c r="M463" t="str">
        <f t="shared" ca="1" si="164"/>
        <v>Investor</v>
      </c>
      <c r="N463" t="str">
        <f t="shared" ca="1" si="165"/>
        <v>Installment</v>
      </c>
      <c r="O463" s="1">
        <f t="shared" ca="1" si="166"/>
        <v>178</v>
      </c>
      <c r="P463" s="2">
        <f t="shared" ca="1" si="167"/>
        <v>155750.94</v>
      </c>
      <c r="Q463" s="2">
        <f t="shared" ca="1" si="168"/>
        <v>-4662604</v>
      </c>
      <c r="R463" s="3">
        <f t="shared" ca="1" si="169"/>
        <v>35079.04054054054</v>
      </c>
      <c r="S463">
        <f t="shared" ca="1" si="170"/>
        <v>148</v>
      </c>
      <c r="T463" s="2">
        <f t="shared" ca="1" si="171"/>
        <v>9854302.4731541611</v>
      </c>
      <c r="U463" s="17">
        <f t="shared" si="174"/>
        <v>2018</v>
      </c>
      <c r="V463" s="20" t="str">
        <f t="shared" si="172"/>
        <v>Nov-2018</v>
      </c>
    </row>
    <row r="464" spans="1:22" x14ac:dyDescent="0.3">
      <c r="A464" t="str">
        <f t="shared" si="173"/>
        <v>TX-00464</v>
      </c>
      <c r="B464" s="6">
        <v>45728</v>
      </c>
      <c r="C464" t="str">
        <f t="shared" ca="1" si="156"/>
        <v>House &amp; Lot</v>
      </c>
      <c r="D464" s="1" t="str">
        <f t="shared" ca="1" si="157"/>
        <v>Cavite</v>
      </c>
      <c r="E464" s="1">
        <f t="shared" ca="1" si="175"/>
        <v>2</v>
      </c>
      <c r="F464" s="1">
        <f t="shared" ca="1" si="175"/>
        <v>2</v>
      </c>
      <c r="G464">
        <f t="shared" ca="1" si="158"/>
        <v>116</v>
      </c>
      <c r="H464">
        <f t="shared" ca="1" si="159"/>
        <v>177</v>
      </c>
      <c r="I464">
        <f t="shared" ca="1" si="160"/>
        <v>2023</v>
      </c>
      <c r="J464" s="2">
        <f t="shared" ca="1" si="161"/>
        <v>11977486</v>
      </c>
      <c r="K464" s="4">
        <f t="shared" ca="1" si="162"/>
        <v>5284602</v>
      </c>
      <c r="L464" t="str">
        <f t="shared" ca="1" si="163"/>
        <v>Mary Garcia</v>
      </c>
      <c r="M464" t="str">
        <f t="shared" ca="1" si="164"/>
        <v>OFW</v>
      </c>
      <c r="N464" t="str">
        <f t="shared" ca="1" si="165"/>
        <v>Bank Loan</v>
      </c>
      <c r="O464" s="1">
        <f t="shared" ca="1" si="166"/>
        <v>189</v>
      </c>
      <c r="P464" s="2">
        <f t="shared" ca="1" si="167"/>
        <v>158538.06</v>
      </c>
      <c r="Q464" s="2">
        <f t="shared" ca="1" si="168"/>
        <v>-6692884</v>
      </c>
      <c r="R464" s="3">
        <f t="shared" ca="1" si="169"/>
        <v>29856.508474576272</v>
      </c>
      <c r="S464">
        <f t="shared" ca="1" si="170"/>
        <v>177</v>
      </c>
      <c r="T464" s="2">
        <f t="shared" ca="1" si="171"/>
        <v>11977486.558788715</v>
      </c>
      <c r="U464" s="17">
        <f t="shared" si="174"/>
        <v>2025</v>
      </c>
      <c r="V464" s="20" t="str">
        <f t="shared" si="172"/>
        <v>Mar-2025</v>
      </c>
    </row>
    <row r="465" spans="1:22" x14ac:dyDescent="0.3">
      <c r="A465" t="str">
        <f t="shared" si="173"/>
        <v>TX-00465</v>
      </c>
      <c r="B465" s="6">
        <v>45664</v>
      </c>
      <c r="C465" t="str">
        <f t="shared" ca="1" si="156"/>
        <v>Condo</v>
      </c>
      <c r="D465" s="1" t="str">
        <f t="shared" ca="1" si="157"/>
        <v>Cavite</v>
      </c>
      <c r="E465" s="1">
        <f t="shared" ca="1" si="175"/>
        <v>4</v>
      </c>
      <c r="F465" s="1">
        <f t="shared" ca="1" si="175"/>
        <v>3</v>
      </c>
      <c r="G465">
        <f t="shared" ca="1" si="158"/>
        <v>72</v>
      </c>
      <c r="H465">
        <f t="shared" ca="1" si="159"/>
        <v>98</v>
      </c>
      <c r="I465">
        <f t="shared" ca="1" si="160"/>
        <v>2022</v>
      </c>
      <c r="J465" s="2">
        <f t="shared" ca="1" si="161"/>
        <v>3170016</v>
      </c>
      <c r="K465" s="4">
        <f t="shared" ca="1" si="162"/>
        <v>10091901</v>
      </c>
      <c r="L465" t="str">
        <f t="shared" ca="1" si="163"/>
        <v>Joy Ramos</v>
      </c>
      <c r="M465" t="str">
        <f t="shared" ca="1" si="164"/>
        <v>Investor</v>
      </c>
      <c r="N465" t="str">
        <f t="shared" ca="1" si="165"/>
        <v>Cash</v>
      </c>
      <c r="O465" s="1">
        <f t="shared" ca="1" si="166"/>
        <v>158</v>
      </c>
      <c r="P465" s="2">
        <f t="shared" ca="1" si="167"/>
        <v>302757.02999999997</v>
      </c>
      <c r="Q465" s="2">
        <f t="shared" ca="1" si="168"/>
        <v>6921885</v>
      </c>
      <c r="R465" s="3">
        <f t="shared" ca="1" si="169"/>
        <v>140165.29166666666</v>
      </c>
      <c r="S465">
        <f t="shared" ca="1" si="170"/>
        <v>72</v>
      </c>
      <c r="T465" s="2">
        <f t="shared" ca="1" si="171"/>
        <v>3170013.8164510843</v>
      </c>
      <c r="U465" s="17">
        <f t="shared" si="174"/>
        <v>2025</v>
      </c>
      <c r="V465" s="20" t="str">
        <f t="shared" si="172"/>
        <v>Jan-2025</v>
      </c>
    </row>
    <row r="466" spans="1:22" x14ac:dyDescent="0.3">
      <c r="A466" t="str">
        <f t="shared" si="173"/>
        <v>TX-00466</v>
      </c>
      <c r="B466" s="6">
        <v>43741</v>
      </c>
      <c r="C466" t="str">
        <f t="shared" ca="1" si="156"/>
        <v>House &amp; Lot</v>
      </c>
      <c r="D466" s="1" t="str">
        <f t="shared" ca="1" si="157"/>
        <v>Cavite</v>
      </c>
      <c r="E466" s="1">
        <f t="shared" ca="1" si="175"/>
        <v>2</v>
      </c>
      <c r="F466" s="1">
        <f t="shared" ca="1" si="175"/>
        <v>3</v>
      </c>
      <c r="G466">
        <f t="shared" ca="1" si="158"/>
        <v>114</v>
      </c>
      <c r="H466">
        <f t="shared" ca="1" si="159"/>
        <v>148</v>
      </c>
      <c r="I466">
        <f t="shared" ca="1" si="160"/>
        <v>2014</v>
      </c>
      <c r="J466" s="2">
        <f t="shared" ca="1" si="161"/>
        <v>5424745</v>
      </c>
      <c r="K466" s="4">
        <f t="shared" ca="1" si="162"/>
        <v>1986703</v>
      </c>
      <c r="L466" t="str">
        <f t="shared" ca="1" si="163"/>
        <v>Daniel Cruz</v>
      </c>
      <c r="M466" t="str">
        <f t="shared" ca="1" si="164"/>
        <v>Individual</v>
      </c>
      <c r="N466" t="str">
        <f t="shared" ca="1" si="165"/>
        <v>Cash</v>
      </c>
      <c r="O466" s="1">
        <f t="shared" ca="1" si="166"/>
        <v>341</v>
      </c>
      <c r="P466" s="2">
        <f t="shared" ca="1" si="167"/>
        <v>59601.09</v>
      </c>
      <c r="Q466" s="2">
        <f t="shared" ca="1" si="168"/>
        <v>-3438042</v>
      </c>
      <c r="R466" s="3">
        <f t="shared" ca="1" si="169"/>
        <v>13423.668918918918</v>
      </c>
      <c r="S466">
        <f t="shared" ca="1" si="170"/>
        <v>148</v>
      </c>
      <c r="T466" s="2">
        <f t="shared" ca="1" si="171"/>
        <v>5424745.6337702507</v>
      </c>
      <c r="U466" s="17">
        <f t="shared" si="174"/>
        <v>2019</v>
      </c>
      <c r="V466" s="20" t="str">
        <f t="shared" si="172"/>
        <v>Oct-2019</v>
      </c>
    </row>
    <row r="467" spans="1:22" x14ac:dyDescent="0.3">
      <c r="A467" t="str">
        <f t="shared" si="173"/>
        <v>TX-00467</v>
      </c>
      <c r="B467" s="6">
        <v>43391</v>
      </c>
      <c r="C467" t="str">
        <f t="shared" ca="1" si="156"/>
        <v>Condo</v>
      </c>
      <c r="D467" s="1" t="str">
        <f t="shared" ca="1" si="157"/>
        <v>Makati</v>
      </c>
      <c r="E467" s="1">
        <f t="shared" ca="1" si="175"/>
        <v>4</v>
      </c>
      <c r="F467" s="1">
        <f t="shared" ca="1" si="175"/>
        <v>4</v>
      </c>
      <c r="G467">
        <f t="shared" ca="1" si="158"/>
        <v>126</v>
      </c>
      <c r="H467">
        <f t="shared" ca="1" si="159"/>
        <v>184</v>
      </c>
      <c r="I467">
        <f t="shared" ca="1" si="160"/>
        <v>2018</v>
      </c>
      <c r="J467" s="2">
        <f t="shared" ca="1" si="161"/>
        <v>5817346</v>
      </c>
      <c r="K467" s="4">
        <f t="shared" ca="1" si="162"/>
        <v>2489612</v>
      </c>
      <c r="L467" t="str">
        <f t="shared" ca="1" si="163"/>
        <v>Mary Garcia</v>
      </c>
      <c r="M467" t="str">
        <f t="shared" ca="1" si="164"/>
        <v>OFW</v>
      </c>
      <c r="N467" t="str">
        <f t="shared" ca="1" si="165"/>
        <v>Installment</v>
      </c>
      <c r="O467" s="1">
        <f t="shared" ca="1" si="166"/>
        <v>347</v>
      </c>
      <c r="P467" s="2">
        <f t="shared" ca="1" si="167"/>
        <v>74688.36</v>
      </c>
      <c r="Q467" s="2">
        <f t="shared" ca="1" si="168"/>
        <v>-3327734</v>
      </c>
      <c r="R467" s="3">
        <f t="shared" ca="1" si="169"/>
        <v>19758.825396825396</v>
      </c>
      <c r="S467">
        <f t="shared" ca="1" si="170"/>
        <v>126</v>
      </c>
      <c r="T467" s="2">
        <f t="shared" ca="1" si="171"/>
        <v>5817346.5720364582</v>
      </c>
      <c r="U467" s="17">
        <f t="shared" si="174"/>
        <v>2018</v>
      </c>
      <c r="V467" s="20" t="str">
        <f t="shared" si="172"/>
        <v>Oct-2018</v>
      </c>
    </row>
    <row r="468" spans="1:22" x14ac:dyDescent="0.3">
      <c r="A468" t="str">
        <f t="shared" si="173"/>
        <v>TX-00468</v>
      </c>
      <c r="B468" s="6">
        <v>45844</v>
      </c>
      <c r="C468" t="str">
        <f t="shared" ca="1" si="156"/>
        <v>House &amp; Lot</v>
      </c>
      <c r="D468" s="1" t="str">
        <f t="shared" ca="1" si="157"/>
        <v>Bulacan</v>
      </c>
      <c r="E468" s="1">
        <f t="shared" ca="1" si="175"/>
        <v>2</v>
      </c>
      <c r="F468" s="1">
        <f t="shared" ca="1" si="175"/>
        <v>2</v>
      </c>
      <c r="G468">
        <f t="shared" ca="1" si="158"/>
        <v>198</v>
      </c>
      <c r="H468">
        <f t="shared" ca="1" si="159"/>
        <v>224</v>
      </c>
      <c r="I468">
        <f t="shared" ca="1" si="160"/>
        <v>2016</v>
      </c>
      <c r="J468" s="2">
        <f t="shared" ca="1" si="161"/>
        <v>8497212</v>
      </c>
      <c r="K468" s="4">
        <f t="shared" ca="1" si="162"/>
        <v>7984882</v>
      </c>
      <c r="L468" t="str">
        <f t="shared" ca="1" si="163"/>
        <v>Rachel Villanueva</v>
      </c>
      <c r="M468" t="str">
        <f t="shared" ca="1" si="164"/>
        <v>OFW</v>
      </c>
      <c r="N468" t="str">
        <f t="shared" ca="1" si="165"/>
        <v>Cash</v>
      </c>
      <c r="O468" s="1">
        <f t="shared" ca="1" si="166"/>
        <v>295</v>
      </c>
      <c r="P468" s="2">
        <f t="shared" ca="1" si="167"/>
        <v>239546.46</v>
      </c>
      <c r="Q468" s="2">
        <f t="shared" ca="1" si="168"/>
        <v>-512330</v>
      </c>
      <c r="R468" s="3">
        <f t="shared" ca="1" si="169"/>
        <v>35646.794642857145</v>
      </c>
      <c r="S468">
        <f t="shared" ca="1" si="170"/>
        <v>224</v>
      </c>
      <c r="T468" s="2">
        <f t="shared" ca="1" si="171"/>
        <v>8497212.0602938943</v>
      </c>
      <c r="U468" s="17">
        <f t="shared" si="174"/>
        <v>2025</v>
      </c>
      <c r="V468" s="20" t="str">
        <f t="shared" si="172"/>
        <v>Jul-2025</v>
      </c>
    </row>
    <row r="469" spans="1:22" x14ac:dyDescent="0.3">
      <c r="A469" t="str">
        <f t="shared" si="173"/>
        <v>TX-00469</v>
      </c>
      <c r="B469" s="6">
        <v>44539</v>
      </c>
      <c r="C469" t="str">
        <f t="shared" ca="1" si="156"/>
        <v>House &amp; Lot</v>
      </c>
      <c r="D469" s="1" t="str">
        <f t="shared" ca="1" si="157"/>
        <v>Bulacan</v>
      </c>
      <c r="E469" s="1">
        <f t="shared" ca="1" si="175"/>
        <v>4</v>
      </c>
      <c r="F469" s="1">
        <f t="shared" ca="1" si="175"/>
        <v>1</v>
      </c>
      <c r="G469">
        <f t="shared" ca="1" si="158"/>
        <v>50</v>
      </c>
      <c r="H469">
        <f t="shared" ca="1" si="159"/>
        <v>134</v>
      </c>
      <c r="I469">
        <f t="shared" ca="1" si="160"/>
        <v>2023</v>
      </c>
      <c r="J469" s="2">
        <f t="shared" ca="1" si="161"/>
        <v>4019529</v>
      </c>
      <c r="K469" s="4">
        <f t="shared" ca="1" si="162"/>
        <v>8711928</v>
      </c>
      <c r="L469" t="str">
        <f t="shared" ca="1" si="163"/>
        <v>Mark Reyes</v>
      </c>
      <c r="M469" t="str">
        <f t="shared" ca="1" si="164"/>
        <v>Investor</v>
      </c>
      <c r="N469" t="str">
        <f t="shared" ca="1" si="165"/>
        <v>Installment</v>
      </c>
      <c r="O469" s="1">
        <f t="shared" ca="1" si="166"/>
        <v>140</v>
      </c>
      <c r="P469" s="2">
        <f t="shared" ca="1" si="167"/>
        <v>261357.84</v>
      </c>
      <c r="Q469" s="2">
        <f t="shared" ca="1" si="168"/>
        <v>4692399</v>
      </c>
      <c r="R469" s="3">
        <f t="shared" ca="1" si="169"/>
        <v>65014.388059701494</v>
      </c>
      <c r="S469">
        <f t="shared" ca="1" si="170"/>
        <v>134</v>
      </c>
      <c r="T469" s="2">
        <f t="shared" ca="1" si="171"/>
        <v>4019527.8325997898</v>
      </c>
      <c r="U469" s="17">
        <f t="shared" si="174"/>
        <v>2021</v>
      </c>
      <c r="V469" s="20" t="str">
        <f t="shared" si="172"/>
        <v>Dec-2021</v>
      </c>
    </row>
    <row r="470" spans="1:22" x14ac:dyDescent="0.3">
      <c r="A470" t="str">
        <f t="shared" si="173"/>
        <v>TX-00470</v>
      </c>
      <c r="B470" s="6">
        <v>45948</v>
      </c>
      <c r="C470" t="str">
        <f t="shared" ca="1" si="156"/>
        <v>Commercial</v>
      </c>
      <c r="D470" s="1" t="str">
        <f t="shared" ca="1" si="157"/>
        <v>Laguna</v>
      </c>
      <c r="E470" s="1">
        <f t="shared" ca="1" si="175"/>
        <v>2</v>
      </c>
      <c r="F470" s="1">
        <f t="shared" ca="1" si="175"/>
        <v>3</v>
      </c>
      <c r="G470">
        <f t="shared" ca="1" si="158"/>
        <v>191</v>
      </c>
      <c r="H470">
        <f t="shared" ca="1" si="159"/>
        <v>233</v>
      </c>
      <c r="I470">
        <f t="shared" ca="1" si="160"/>
        <v>2015</v>
      </c>
      <c r="J470" s="2">
        <f t="shared" ca="1" si="161"/>
        <v>12033826</v>
      </c>
      <c r="K470" s="4">
        <f t="shared" ca="1" si="162"/>
        <v>6877203</v>
      </c>
      <c r="L470" t="str">
        <f t="shared" ca="1" si="163"/>
        <v>Michael Santos</v>
      </c>
      <c r="M470" t="str">
        <f t="shared" ca="1" si="164"/>
        <v>OFW</v>
      </c>
      <c r="N470" t="str">
        <f t="shared" ca="1" si="165"/>
        <v>Installment</v>
      </c>
      <c r="O470" s="1">
        <f t="shared" ca="1" si="166"/>
        <v>186</v>
      </c>
      <c r="P470" s="2">
        <f t="shared" ca="1" si="167"/>
        <v>206316.09</v>
      </c>
      <c r="Q470" s="2">
        <f t="shared" ca="1" si="168"/>
        <v>-5156623</v>
      </c>
      <c r="R470" s="3">
        <f t="shared" ca="1" si="169"/>
        <v>29515.892703862661</v>
      </c>
      <c r="S470">
        <f t="shared" ca="1" si="170"/>
        <v>233</v>
      </c>
      <c r="T470" s="2">
        <f t="shared" ca="1" si="171"/>
        <v>12033826.428510683</v>
      </c>
      <c r="U470" s="17">
        <f t="shared" si="174"/>
        <v>2025</v>
      </c>
      <c r="V470" s="20" t="str">
        <f t="shared" si="172"/>
        <v>Oct-2025</v>
      </c>
    </row>
    <row r="471" spans="1:22" x14ac:dyDescent="0.3">
      <c r="A471" t="str">
        <f t="shared" si="173"/>
        <v>TX-00471</v>
      </c>
      <c r="B471" s="6">
        <v>44831</v>
      </c>
      <c r="C471" t="str">
        <f t="shared" ca="1" si="156"/>
        <v>Condo</v>
      </c>
      <c r="D471" s="1" t="str">
        <f t="shared" ca="1" si="157"/>
        <v>Cavite</v>
      </c>
      <c r="E471" s="1">
        <f t="shared" ca="1" si="175"/>
        <v>1</v>
      </c>
      <c r="F471" s="1">
        <f t="shared" ca="1" si="175"/>
        <v>2</v>
      </c>
      <c r="G471">
        <f t="shared" ca="1" si="158"/>
        <v>138</v>
      </c>
      <c r="H471">
        <f t="shared" ca="1" si="159"/>
        <v>179</v>
      </c>
      <c r="I471">
        <f t="shared" ca="1" si="160"/>
        <v>2013</v>
      </c>
      <c r="J471" s="2">
        <f t="shared" ca="1" si="161"/>
        <v>2236070</v>
      </c>
      <c r="K471" s="4">
        <f t="shared" ca="1" si="162"/>
        <v>10305578</v>
      </c>
      <c r="L471" t="str">
        <f t="shared" ca="1" si="163"/>
        <v>Mary Garcia</v>
      </c>
      <c r="M471" t="str">
        <f t="shared" ca="1" si="164"/>
        <v>Corporation</v>
      </c>
      <c r="N471" t="str">
        <f t="shared" ca="1" si="165"/>
        <v>Cash</v>
      </c>
      <c r="O471" s="1">
        <f t="shared" ca="1" si="166"/>
        <v>181</v>
      </c>
      <c r="P471" s="2">
        <f t="shared" ca="1" si="167"/>
        <v>309167.33999999997</v>
      </c>
      <c r="Q471" s="2">
        <f t="shared" ca="1" si="168"/>
        <v>8069508</v>
      </c>
      <c r="R471" s="3">
        <f t="shared" ca="1" si="169"/>
        <v>74678.10144927536</v>
      </c>
      <c r="S471">
        <f t="shared" ca="1" si="170"/>
        <v>138</v>
      </c>
      <c r="T471" s="2">
        <f t="shared" ca="1" si="171"/>
        <v>2236066.3912095777</v>
      </c>
      <c r="U471" s="17">
        <f t="shared" si="174"/>
        <v>2022</v>
      </c>
      <c r="V471" s="20" t="str">
        <f t="shared" si="172"/>
        <v>Sep-2022</v>
      </c>
    </row>
    <row r="472" spans="1:22" x14ac:dyDescent="0.3">
      <c r="A472" t="str">
        <f t="shared" si="173"/>
        <v>TX-00472</v>
      </c>
      <c r="B472" s="6">
        <v>45126</v>
      </c>
      <c r="C472" t="str">
        <f t="shared" ca="1" si="156"/>
        <v>Land</v>
      </c>
      <c r="D472" s="1" t="str">
        <f t="shared" ca="1" si="157"/>
        <v>Cavite</v>
      </c>
      <c r="E472" s="1">
        <f t="shared" ca="1" si="175"/>
        <v>3</v>
      </c>
      <c r="F472" s="1">
        <f t="shared" ca="1" si="175"/>
        <v>1</v>
      </c>
      <c r="G472">
        <f t="shared" ca="1" si="158"/>
        <v>110</v>
      </c>
      <c r="H472">
        <f t="shared" ca="1" si="159"/>
        <v>129</v>
      </c>
      <c r="I472">
        <f t="shared" ca="1" si="160"/>
        <v>2011</v>
      </c>
      <c r="J472" s="2">
        <f t="shared" ca="1" si="161"/>
        <v>5592175</v>
      </c>
      <c r="K472" s="4">
        <f t="shared" ca="1" si="162"/>
        <v>11709782</v>
      </c>
      <c r="L472" t="str">
        <f t="shared" ca="1" si="163"/>
        <v>Mary Garcia</v>
      </c>
      <c r="M472" t="str">
        <f t="shared" ca="1" si="164"/>
        <v>OFW</v>
      </c>
      <c r="N472" t="str">
        <f t="shared" ca="1" si="165"/>
        <v>Pag-IBIG Loan</v>
      </c>
      <c r="O472" s="1">
        <f t="shared" ca="1" si="166"/>
        <v>118</v>
      </c>
      <c r="P472" s="2">
        <f t="shared" ca="1" si="167"/>
        <v>351293.45999999996</v>
      </c>
      <c r="Q472" s="2">
        <f t="shared" ca="1" si="168"/>
        <v>6117607</v>
      </c>
      <c r="R472" s="3">
        <f t="shared" ca="1" si="169"/>
        <v>90773.503875968992</v>
      </c>
      <c r="S472">
        <f t="shared" ca="1" si="170"/>
        <v>129</v>
      </c>
      <c r="T472" s="2">
        <f t="shared" ca="1" si="171"/>
        <v>5592173.9060415672</v>
      </c>
      <c r="U472" s="17">
        <f t="shared" si="174"/>
        <v>2023</v>
      </c>
      <c r="V472" s="20" t="str">
        <f t="shared" si="172"/>
        <v>Jul-2023</v>
      </c>
    </row>
    <row r="473" spans="1:22" x14ac:dyDescent="0.3">
      <c r="A473" t="str">
        <f t="shared" si="173"/>
        <v>TX-00473</v>
      </c>
      <c r="B473" s="6">
        <v>44051</v>
      </c>
      <c r="C473" t="str">
        <f t="shared" ca="1" si="156"/>
        <v>Commercial</v>
      </c>
      <c r="D473" s="1" t="str">
        <f t="shared" ca="1" si="157"/>
        <v>Cavite</v>
      </c>
      <c r="E473" s="1">
        <f t="shared" ca="1" si="175"/>
        <v>1</v>
      </c>
      <c r="F473" s="1">
        <f t="shared" ca="1" si="175"/>
        <v>3</v>
      </c>
      <c r="G473">
        <f t="shared" ca="1" si="158"/>
        <v>58</v>
      </c>
      <c r="H473">
        <f t="shared" ca="1" si="159"/>
        <v>147</v>
      </c>
      <c r="I473">
        <f t="shared" ca="1" si="160"/>
        <v>2014</v>
      </c>
      <c r="J473" s="2">
        <f t="shared" ca="1" si="161"/>
        <v>9403902</v>
      </c>
      <c r="K473" s="4">
        <f t="shared" ca="1" si="162"/>
        <v>2834432</v>
      </c>
      <c r="L473" t="str">
        <f t="shared" ca="1" si="163"/>
        <v>Mark Reyes</v>
      </c>
      <c r="M473" t="str">
        <f t="shared" ca="1" si="164"/>
        <v>Investor</v>
      </c>
      <c r="N473" t="str">
        <f t="shared" ca="1" si="165"/>
        <v>Installment</v>
      </c>
      <c r="O473" s="1">
        <f t="shared" ca="1" si="166"/>
        <v>399</v>
      </c>
      <c r="P473" s="2">
        <f t="shared" ca="1" si="167"/>
        <v>85032.959999999992</v>
      </c>
      <c r="Q473" s="2">
        <f t="shared" ca="1" si="168"/>
        <v>-6569470</v>
      </c>
      <c r="R473" s="3">
        <f t="shared" ca="1" si="169"/>
        <v>19281.850340136054</v>
      </c>
      <c r="S473">
        <f t="shared" ca="1" si="170"/>
        <v>147</v>
      </c>
      <c r="T473" s="2">
        <f t="shared" ca="1" si="171"/>
        <v>9403902.6985897981</v>
      </c>
      <c r="U473" s="17">
        <f t="shared" si="174"/>
        <v>2020</v>
      </c>
      <c r="V473" s="20" t="str">
        <f t="shared" si="172"/>
        <v>Aug-2020</v>
      </c>
    </row>
    <row r="474" spans="1:22" x14ac:dyDescent="0.3">
      <c r="A474" t="str">
        <f t="shared" si="173"/>
        <v>TX-00474</v>
      </c>
      <c r="B474" s="6">
        <v>44716</v>
      </c>
      <c r="C474" t="str">
        <f t="shared" ca="1" si="156"/>
        <v>House &amp; Lot</v>
      </c>
      <c r="D474" s="1" t="str">
        <f t="shared" ca="1" si="157"/>
        <v>Laguna</v>
      </c>
      <c r="E474" s="1">
        <f t="shared" ca="1" si="175"/>
        <v>2</v>
      </c>
      <c r="F474" s="1">
        <f t="shared" ca="1" si="175"/>
        <v>1</v>
      </c>
      <c r="G474">
        <f t="shared" ca="1" si="158"/>
        <v>100</v>
      </c>
      <c r="H474">
        <f t="shared" ca="1" si="159"/>
        <v>239</v>
      </c>
      <c r="I474">
        <f t="shared" ca="1" si="160"/>
        <v>2020</v>
      </c>
      <c r="J474" s="2">
        <f t="shared" ca="1" si="161"/>
        <v>2751719</v>
      </c>
      <c r="K474" s="4">
        <f t="shared" ca="1" si="162"/>
        <v>3638144</v>
      </c>
      <c r="L474" t="str">
        <f t="shared" ca="1" si="163"/>
        <v>Daniel Cruz</v>
      </c>
      <c r="M474" t="str">
        <f t="shared" ca="1" si="164"/>
        <v>Individual</v>
      </c>
      <c r="N474" t="str">
        <f t="shared" ca="1" si="165"/>
        <v>Bank Loan</v>
      </c>
      <c r="O474" s="1">
        <f t="shared" ca="1" si="166"/>
        <v>268</v>
      </c>
      <c r="P474" s="2">
        <f t="shared" ca="1" si="167"/>
        <v>109144.31999999999</v>
      </c>
      <c r="Q474" s="2">
        <f t="shared" ca="1" si="168"/>
        <v>886425</v>
      </c>
      <c r="R474" s="3">
        <f t="shared" ca="1" si="169"/>
        <v>15222.359832635982</v>
      </c>
      <c r="S474">
        <f t="shared" ca="1" si="170"/>
        <v>239</v>
      </c>
      <c r="T474" s="2">
        <f t="shared" ca="1" si="171"/>
        <v>2751718.677865</v>
      </c>
      <c r="U474" s="17">
        <f t="shared" si="174"/>
        <v>2022</v>
      </c>
      <c r="V474" s="20" t="str">
        <f t="shared" si="172"/>
        <v>Jun-2022</v>
      </c>
    </row>
    <row r="475" spans="1:22" x14ac:dyDescent="0.3">
      <c r="A475" t="str">
        <f t="shared" si="173"/>
        <v>TX-00475</v>
      </c>
      <c r="B475" s="6">
        <v>46065</v>
      </c>
      <c r="C475" t="str">
        <f t="shared" ca="1" si="156"/>
        <v>Commercial</v>
      </c>
      <c r="D475" s="1" t="str">
        <f t="shared" ca="1" si="157"/>
        <v>Cavite</v>
      </c>
      <c r="E475" s="1">
        <f t="shared" ca="1" si="175"/>
        <v>2</v>
      </c>
      <c r="F475" s="1">
        <f t="shared" ca="1" si="175"/>
        <v>1</v>
      </c>
      <c r="G475">
        <f t="shared" ca="1" si="158"/>
        <v>160</v>
      </c>
      <c r="H475">
        <f t="shared" ca="1" si="159"/>
        <v>237</v>
      </c>
      <c r="I475">
        <f t="shared" ca="1" si="160"/>
        <v>2017</v>
      </c>
      <c r="J475" s="2">
        <f t="shared" ca="1" si="161"/>
        <v>8950467</v>
      </c>
      <c r="K475" s="4">
        <f t="shared" ca="1" si="162"/>
        <v>6338667</v>
      </c>
      <c r="L475" t="str">
        <f t="shared" ca="1" si="163"/>
        <v>John Dela Cruz</v>
      </c>
      <c r="M475" t="str">
        <f t="shared" ca="1" si="164"/>
        <v>OFW</v>
      </c>
      <c r="N475" t="str">
        <f t="shared" ca="1" si="165"/>
        <v>Installment</v>
      </c>
      <c r="O475" s="1">
        <f t="shared" ca="1" si="166"/>
        <v>104</v>
      </c>
      <c r="P475" s="2">
        <f t="shared" ca="1" si="167"/>
        <v>190160.00999999998</v>
      </c>
      <c r="Q475" s="2">
        <f t="shared" ca="1" si="168"/>
        <v>-2611800</v>
      </c>
      <c r="R475" s="3">
        <f t="shared" ca="1" si="169"/>
        <v>26745.430379746835</v>
      </c>
      <c r="S475">
        <f t="shared" ca="1" si="170"/>
        <v>237</v>
      </c>
      <c r="T475" s="2">
        <f t="shared" ca="1" si="171"/>
        <v>8950467.2918060031</v>
      </c>
      <c r="U475" s="17">
        <f t="shared" si="174"/>
        <v>2026</v>
      </c>
      <c r="V475" s="20" t="str">
        <f t="shared" si="172"/>
        <v>Feb-2026</v>
      </c>
    </row>
    <row r="476" spans="1:22" x14ac:dyDescent="0.3">
      <c r="A476" t="str">
        <f t="shared" si="173"/>
        <v>TX-00476</v>
      </c>
      <c r="B476" s="6">
        <v>45322</v>
      </c>
      <c r="C476" t="str">
        <f t="shared" ca="1" si="156"/>
        <v>House &amp; Lot</v>
      </c>
      <c r="D476" s="1" t="str">
        <f t="shared" ca="1" si="157"/>
        <v>Makati</v>
      </c>
      <c r="E476" s="1">
        <f t="shared" ca="1" si="175"/>
        <v>1</v>
      </c>
      <c r="F476" s="1">
        <f t="shared" ca="1" si="175"/>
        <v>3</v>
      </c>
      <c r="G476">
        <f t="shared" ca="1" si="158"/>
        <v>108</v>
      </c>
      <c r="H476">
        <f t="shared" ca="1" si="159"/>
        <v>195</v>
      </c>
      <c r="I476">
        <f t="shared" ca="1" si="160"/>
        <v>2013</v>
      </c>
      <c r="J476" s="2">
        <f t="shared" ca="1" si="161"/>
        <v>4736135</v>
      </c>
      <c r="K476" s="4">
        <f t="shared" ca="1" si="162"/>
        <v>9636732</v>
      </c>
      <c r="L476" t="str">
        <f t="shared" ca="1" si="163"/>
        <v>Daniel Cruz</v>
      </c>
      <c r="M476" t="str">
        <f t="shared" ca="1" si="164"/>
        <v>Individual</v>
      </c>
      <c r="N476" t="str">
        <f t="shared" ca="1" si="165"/>
        <v>Cash</v>
      </c>
      <c r="O476" s="1">
        <f t="shared" ca="1" si="166"/>
        <v>142</v>
      </c>
      <c r="P476" s="2">
        <f t="shared" ca="1" si="167"/>
        <v>289101.95999999996</v>
      </c>
      <c r="Q476" s="2">
        <f t="shared" ca="1" si="168"/>
        <v>4900597</v>
      </c>
      <c r="R476" s="3">
        <f t="shared" ca="1" si="169"/>
        <v>49419.13846153846</v>
      </c>
      <c r="S476">
        <f t="shared" ca="1" si="170"/>
        <v>195</v>
      </c>
      <c r="T476" s="2">
        <f t="shared" ca="1" si="171"/>
        <v>4736133.9652750604</v>
      </c>
      <c r="U476" s="17">
        <f t="shared" si="174"/>
        <v>2024</v>
      </c>
      <c r="V476" s="20" t="str">
        <f t="shared" si="172"/>
        <v>Jan-2024</v>
      </c>
    </row>
    <row r="477" spans="1:22" x14ac:dyDescent="0.3">
      <c r="A477" t="str">
        <f t="shared" si="173"/>
        <v>TX-00477</v>
      </c>
      <c r="B477" s="6">
        <v>44684</v>
      </c>
      <c r="C477" t="str">
        <f t="shared" ca="1" si="156"/>
        <v>Commercial</v>
      </c>
      <c r="D477" s="1" t="str">
        <f t="shared" ca="1" si="157"/>
        <v>Cavite</v>
      </c>
      <c r="E477" s="1">
        <f t="shared" ca="1" si="175"/>
        <v>1</v>
      </c>
      <c r="F477" s="1">
        <f t="shared" ca="1" si="175"/>
        <v>1</v>
      </c>
      <c r="G477">
        <f t="shared" ca="1" si="158"/>
        <v>116</v>
      </c>
      <c r="H477">
        <f t="shared" ca="1" si="159"/>
        <v>211</v>
      </c>
      <c r="I477">
        <f t="shared" ca="1" si="160"/>
        <v>2022</v>
      </c>
      <c r="J477" s="2">
        <f t="shared" ca="1" si="161"/>
        <v>4733606</v>
      </c>
      <c r="K477" s="4">
        <f t="shared" ca="1" si="162"/>
        <v>5796246</v>
      </c>
      <c r="L477" t="str">
        <f t="shared" ca="1" si="163"/>
        <v>John Dela Cruz</v>
      </c>
      <c r="M477" t="str">
        <f t="shared" ca="1" si="164"/>
        <v>Investor</v>
      </c>
      <c r="N477" t="str">
        <f t="shared" ca="1" si="165"/>
        <v>Pag-IBIG Loan</v>
      </c>
      <c r="O477" s="1">
        <f t="shared" ca="1" si="166"/>
        <v>383</v>
      </c>
      <c r="P477" s="2">
        <f t="shared" ca="1" si="167"/>
        <v>173887.38</v>
      </c>
      <c r="Q477" s="2">
        <f t="shared" ca="1" si="168"/>
        <v>1062640</v>
      </c>
      <c r="R477" s="3">
        <f t="shared" ca="1" si="169"/>
        <v>27470.360189573461</v>
      </c>
      <c r="S477">
        <f t="shared" ca="1" si="170"/>
        <v>211</v>
      </c>
      <c r="T477" s="2">
        <f t="shared" ca="1" si="171"/>
        <v>4733605.7755115237</v>
      </c>
      <c r="U477" s="17">
        <f t="shared" si="174"/>
        <v>2022</v>
      </c>
      <c r="V477" s="20" t="str">
        <f t="shared" si="172"/>
        <v>May-2022</v>
      </c>
    </row>
    <row r="478" spans="1:22" x14ac:dyDescent="0.3">
      <c r="A478" t="str">
        <f t="shared" si="173"/>
        <v>TX-00478</v>
      </c>
      <c r="B478" s="6">
        <v>45509</v>
      </c>
      <c r="C478" t="str">
        <f t="shared" ca="1" si="156"/>
        <v>Condo</v>
      </c>
      <c r="D478" s="1" t="str">
        <f t="shared" ca="1" si="157"/>
        <v>Cavite</v>
      </c>
      <c r="E478" s="1">
        <f t="shared" ca="1" si="175"/>
        <v>4</v>
      </c>
      <c r="F478" s="1">
        <f t="shared" ca="1" si="175"/>
        <v>2</v>
      </c>
      <c r="G478">
        <f t="shared" ca="1" si="158"/>
        <v>193</v>
      </c>
      <c r="H478">
        <f t="shared" ca="1" si="159"/>
        <v>172</v>
      </c>
      <c r="I478">
        <f t="shared" ca="1" si="160"/>
        <v>2023</v>
      </c>
      <c r="J478" s="2">
        <f t="shared" ca="1" si="161"/>
        <v>7699919</v>
      </c>
      <c r="K478" s="4">
        <f t="shared" ca="1" si="162"/>
        <v>9713999</v>
      </c>
      <c r="L478" t="str">
        <f t="shared" ca="1" si="163"/>
        <v>Daniel Cruz</v>
      </c>
      <c r="M478" t="str">
        <f t="shared" ca="1" si="164"/>
        <v>Individual</v>
      </c>
      <c r="N478" t="str">
        <f t="shared" ca="1" si="165"/>
        <v>Pag-IBIG Loan</v>
      </c>
      <c r="O478" s="1">
        <f t="shared" ca="1" si="166"/>
        <v>261</v>
      </c>
      <c r="P478" s="2">
        <f t="shared" ca="1" si="167"/>
        <v>291419.96999999997</v>
      </c>
      <c r="Q478" s="2">
        <f t="shared" ca="1" si="168"/>
        <v>2014080</v>
      </c>
      <c r="R478" s="3">
        <f t="shared" ca="1" si="169"/>
        <v>50331.601036269429</v>
      </c>
      <c r="S478">
        <f t="shared" ca="1" si="170"/>
        <v>193</v>
      </c>
      <c r="T478" s="2">
        <f t="shared" ca="1" si="171"/>
        <v>7699918.7384284176</v>
      </c>
      <c r="U478" s="17">
        <f t="shared" si="174"/>
        <v>2024</v>
      </c>
      <c r="V478" s="20" t="str">
        <f t="shared" si="172"/>
        <v>Aug-2024</v>
      </c>
    </row>
    <row r="479" spans="1:22" x14ac:dyDescent="0.3">
      <c r="A479" t="str">
        <f t="shared" si="173"/>
        <v>TX-00479</v>
      </c>
      <c r="B479" s="6">
        <v>44328</v>
      </c>
      <c r="C479" t="str">
        <f t="shared" ca="1" si="156"/>
        <v>Commercial</v>
      </c>
      <c r="D479" s="1" t="str">
        <f t="shared" ca="1" si="157"/>
        <v>Laguna</v>
      </c>
      <c r="E479" s="1">
        <f t="shared" ca="1" si="175"/>
        <v>2</v>
      </c>
      <c r="F479" s="1">
        <f t="shared" ca="1" si="175"/>
        <v>3</v>
      </c>
      <c r="G479">
        <f t="shared" ca="1" si="158"/>
        <v>164</v>
      </c>
      <c r="H479">
        <f t="shared" ca="1" si="159"/>
        <v>146</v>
      </c>
      <c r="I479">
        <f t="shared" ca="1" si="160"/>
        <v>2017</v>
      </c>
      <c r="J479" s="2">
        <f t="shared" ca="1" si="161"/>
        <v>4137476</v>
      </c>
      <c r="K479" s="4">
        <f t="shared" ca="1" si="162"/>
        <v>12980828</v>
      </c>
      <c r="L479" t="str">
        <f t="shared" ca="1" si="163"/>
        <v>John Dela Cruz</v>
      </c>
      <c r="M479" t="str">
        <f t="shared" ca="1" si="164"/>
        <v>Corporation</v>
      </c>
      <c r="N479" t="str">
        <f t="shared" ca="1" si="165"/>
        <v>Cash</v>
      </c>
      <c r="O479" s="1">
        <f t="shared" ca="1" si="166"/>
        <v>396</v>
      </c>
      <c r="P479" s="2">
        <f t="shared" ca="1" si="167"/>
        <v>389424.83999999997</v>
      </c>
      <c r="Q479" s="2">
        <f t="shared" ca="1" si="168"/>
        <v>8843352</v>
      </c>
      <c r="R479" s="3">
        <f t="shared" ca="1" si="169"/>
        <v>88909.780821917811</v>
      </c>
      <c r="S479">
        <f t="shared" ca="1" si="170"/>
        <v>146</v>
      </c>
      <c r="T479" s="2">
        <f t="shared" ca="1" si="171"/>
        <v>4137473.8626215598</v>
      </c>
      <c r="U479" s="17">
        <f t="shared" si="174"/>
        <v>2021</v>
      </c>
      <c r="V479" s="20" t="str">
        <f t="shared" si="172"/>
        <v>May-2021</v>
      </c>
    </row>
    <row r="480" spans="1:22" x14ac:dyDescent="0.3">
      <c r="A480" t="str">
        <f t="shared" si="173"/>
        <v>TX-00480</v>
      </c>
      <c r="B480" s="6">
        <v>43184</v>
      </c>
      <c r="C480" t="str">
        <f t="shared" ca="1" si="156"/>
        <v>House &amp; Lot</v>
      </c>
      <c r="D480" s="1" t="str">
        <f t="shared" ca="1" si="157"/>
        <v>Cavite</v>
      </c>
      <c r="E480" s="1">
        <f t="shared" ca="1" si="175"/>
        <v>3</v>
      </c>
      <c r="F480" s="1">
        <f t="shared" ca="1" si="175"/>
        <v>1</v>
      </c>
      <c r="G480">
        <f t="shared" ca="1" si="158"/>
        <v>190</v>
      </c>
      <c r="H480">
        <f t="shared" ca="1" si="159"/>
        <v>176</v>
      </c>
      <c r="I480">
        <f t="shared" ca="1" si="160"/>
        <v>2011</v>
      </c>
      <c r="J480" s="2">
        <f t="shared" ca="1" si="161"/>
        <v>7485893</v>
      </c>
      <c r="K480" s="4">
        <f t="shared" ca="1" si="162"/>
        <v>12489680</v>
      </c>
      <c r="L480" t="str">
        <f t="shared" ca="1" si="163"/>
        <v>Mark Reyes</v>
      </c>
      <c r="M480" t="str">
        <f t="shared" ca="1" si="164"/>
        <v>Individual</v>
      </c>
      <c r="N480" t="str">
        <f t="shared" ca="1" si="165"/>
        <v>Cash</v>
      </c>
      <c r="O480" s="1">
        <f t="shared" ca="1" si="166"/>
        <v>341</v>
      </c>
      <c r="P480" s="2">
        <f t="shared" ca="1" si="167"/>
        <v>374690.39999999997</v>
      </c>
      <c r="Q480" s="2">
        <f t="shared" ca="1" si="168"/>
        <v>5003787</v>
      </c>
      <c r="R480" s="3">
        <f t="shared" ca="1" si="169"/>
        <v>70964.090909090912</v>
      </c>
      <c r="S480">
        <f t="shared" ca="1" si="170"/>
        <v>176</v>
      </c>
      <c r="T480" s="2">
        <f t="shared" ca="1" si="171"/>
        <v>7485892.3315711301</v>
      </c>
      <c r="U480" s="17">
        <f t="shared" si="174"/>
        <v>2018</v>
      </c>
      <c r="V480" s="20" t="str">
        <f t="shared" si="172"/>
        <v>Mar-2018</v>
      </c>
    </row>
    <row r="481" spans="1:22" x14ac:dyDescent="0.3">
      <c r="A481" t="str">
        <f t="shared" si="173"/>
        <v>TX-00481</v>
      </c>
      <c r="B481" s="6">
        <v>45190</v>
      </c>
      <c r="C481" t="str">
        <f t="shared" ca="1" si="156"/>
        <v>Commercial</v>
      </c>
      <c r="D481" s="1" t="str">
        <f t="shared" ca="1" si="157"/>
        <v>Bulacan</v>
      </c>
      <c r="E481" s="1">
        <f t="shared" ca="1" si="175"/>
        <v>4</v>
      </c>
      <c r="F481" s="1">
        <f t="shared" ca="1" si="175"/>
        <v>3</v>
      </c>
      <c r="G481">
        <f t="shared" ca="1" si="158"/>
        <v>94</v>
      </c>
      <c r="H481">
        <f t="shared" ca="1" si="159"/>
        <v>162</v>
      </c>
      <c r="I481">
        <f t="shared" ca="1" si="160"/>
        <v>2013</v>
      </c>
      <c r="J481" s="2">
        <f t="shared" ca="1" si="161"/>
        <v>12923487</v>
      </c>
      <c r="K481" s="4">
        <f t="shared" ca="1" si="162"/>
        <v>11462226</v>
      </c>
      <c r="L481" t="str">
        <f t="shared" ca="1" si="163"/>
        <v>Joy Ramos</v>
      </c>
      <c r="M481" t="str">
        <f t="shared" ca="1" si="164"/>
        <v>Individual</v>
      </c>
      <c r="N481" t="str">
        <f t="shared" ca="1" si="165"/>
        <v>Installment</v>
      </c>
      <c r="O481" s="1">
        <f t="shared" ca="1" si="166"/>
        <v>252</v>
      </c>
      <c r="P481" s="2">
        <f t="shared" ca="1" si="167"/>
        <v>343866.77999999997</v>
      </c>
      <c r="Q481" s="2">
        <f t="shared" ca="1" si="168"/>
        <v>-1461261</v>
      </c>
      <c r="R481" s="3">
        <f t="shared" ca="1" si="169"/>
        <v>70754.481481481474</v>
      </c>
      <c r="S481">
        <f t="shared" ca="1" si="170"/>
        <v>162</v>
      </c>
      <c r="T481" s="2">
        <f t="shared" ca="1" si="171"/>
        <v>12923487.113070181</v>
      </c>
      <c r="U481" s="17">
        <f t="shared" si="174"/>
        <v>2023</v>
      </c>
      <c r="V481" s="20" t="str">
        <f t="shared" si="172"/>
        <v>Sep-2023</v>
      </c>
    </row>
    <row r="482" spans="1:22" x14ac:dyDescent="0.3">
      <c r="A482" t="str">
        <f t="shared" si="173"/>
        <v>TX-00482</v>
      </c>
      <c r="B482" s="6">
        <v>43464</v>
      </c>
      <c r="C482" t="str">
        <f t="shared" ca="1" si="156"/>
        <v>Condo</v>
      </c>
      <c r="D482" s="1" t="str">
        <f t="shared" ca="1" si="157"/>
        <v>Cavite</v>
      </c>
      <c r="E482" s="1">
        <f t="shared" ref="E482:F501" ca="1" si="176">RANDBETWEEN(1,4)</f>
        <v>3</v>
      </c>
      <c r="F482" s="1">
        <f t="shared" ca="1" si="176"/>
        <v>3</v>
      </c>
      <c r="G482">
        <f t="shared" ca="1" si="158"/>
        <v>114</v>
      </c>
      <c r="H482">
        <f t="shared" ca="1" si="159"/>
        <v>59</v>
      </c>
      <c r="I482">
        <f t="shared" ca="1" si="160"/>
        <v>2015</v>
      </c>
      <c r="J482" s="2">
        <f t="shared" ca="1" si="161"/>
        <v>12560035</v>
      </c>
      <c r="K482" s="4">
        <f t="shared" ca="1" si="162"/>
        <v>4022486</v>
      </c>
      <c r="L482" t="str">
        <f t="shared" ca="1" si="163"/>
        <v>Joy Ramos</v>
      </c>
      <c r="M482" t="str">
        <f t="shared" ca="1" si="164"/>
        <v>Corporation</v>
      </c>
      <c r="N482" t="str">
        <f t="shared" ca="1" si="165"/>
        <v>Cash</v>
      </c>
      <c r="O482" s="1">
        <f t="shared" ca="1" si="166"/>
        <v>130</v>
      </c>
      <c r="P482" s="2">
        <f t="shared" ca="1" si="167"/>
        <v>120674.58</v>
      </c>
      <c r="Q482" s="2">
        <f t="shared" ca="1" si="168"/>
        <v>-8537549</v>
      </c>
      <c r="R482" s="3">
        <f t="shared" ca="1" si="169"/>
        <v>35284.964912280702</v>
      </c>
      <c r="S482">
        <f t="shared" ca="1" si="170"/>
        <v>114</v>
      </c>
      <c r="T482" s="2">
        <f t="shared" ca="1" si="171"/>
        <v>12560035.679739268</v>
      </c>
      <c r="U482" s="17">
        <f t="shared" si="174"/>
        <v>2018</v>
      </c>
      <c r="V482" s="20" t="str">
        <f t="shared" si="172"/>
        <v>Dec-2018</v>
      </c>
    </row>
    <row r="483" spans="1:22" x14ac:dyDescent="0.3">
      <c r="A483" t="str">
        <f t="shared" si="173"/>
        <v>TX-00483</v>
      </c>
      <c r="B483" s="6">
        <v>43507</v>
      </c>
      <c r="C483" t="str">
        <f t="shared" ca="1" si="156"/>
        <v>House &amp; Lot</v>
      </c>
      <c r="D483" s="1" t="str">
        <f t="shared" ca="1" si="157"/>
        <v>Makati</v>
      </c>
      <c r="E483" s="1">
        <f t="shared" ca="1" si="176"/>
        <v>2</v>
      </c>
      <c r="F483" s="1">
        <f t="shared" ca="1" si="176"/>
        <v>1</v>
      </c>
      <c r="G483">
        <f t="shared" ca="1" si="158"/>
        <v>47</v>
      </c>
      <c r="H483">
        <f t="shared" ca="1" si="159"/>
        <v>51</v>
      </c>
      <c r="I483">
        <f t="shared" ca="1" si="160"/>
        <v>2012</v>
      </c>
      <c r="J483" s="2">
        <f t="shared" ca="1" si="161"/>
        <v>11326925</v>
      </c>
      <c r="K483" s="4">
        <f t="shared" ca="1" si="162"/>
        <v>3592278</v>
      </c>
      <c r="L483" t="str">
        <f t="shared" ca="1" si="163"/>
        <v>Anna Mendoza</v>
      </c>
      <c r="M483" t="str">
        <f t="shared" ca="1" si="164"/>
        <v>Corporation</v>
      </c>
      <c r="N483" t="str">
        <f t="shared" ca="1" si="165"/>
        <v>Installment</v>
      </c>
      <c r="O483" s="1">
        <f t="shared" ca="1" si="166"/>
        <v>332</v>
      </c>
      <c r="P483" s="2">
        <f t="shared" ca="1" si="167"/>
        <v>107768.34</v>
      </c>
      <c r="Q483" s="2">
        <f t="shared" ca="1" si="168"/>
        <v>-7734647</v>
      </c>
      <c r="R483" s="3">
        <f t="shared" ca="1" si="169"/>
        <v>70436.823529411762</v>
      </c>
      <c r="S483">
        <f t="shared" ca="1" si="170"/>
        <v>51</v>
      </c>
      <c r="T483" s="2">
        <f t="shared" ca="1" si="171"/>
        <v>11326925.682854967</v>
      </c>
      <c r="U483" s="17">
        <f t="shared" si="174"/>
        <v>2019</v>
      </c>
      <c r="V483" s="20" t="str">
        <f t="shared" si="172"/>
        <v>Feb-2019</v>
      </c>
    </row>
    <row r="484" spans="1:22" x14ac:dyDescent="0.3">
      <c r="A484" t="str">
        <f t="shared" si="173"/>
        <v>TX-00484</v>
      </c>
      <c r="B484" s="6">
        <v>45588</v>
      </c>
      <c r="C484" t="str">
        <f t="shared" ca="1" si="156"/>
        <v>Condo</v>
      </c>
      <c r="D484" s="1" t="str">
        <f t="shared" ca="1" si="157"/>
        <v>Makati</v>
      </c>
      <c r="E484" s="1">
        <f t="shared" ca="1" si="176"/>
        <v>1</v>
      </c>
      <c r="F484" s="1">
        <f t="shared" ca="1" si="176"/>
        <v>4</v>
      </c>
      <c r="G484">
        <f t="shared" ca="1" si="158"/>
        <v>44</v>
      </c>
      <c r="H484">
        <f t="shared" ca="1" si="159"/>
        <v>244</v>
      </c>
      <c r="I484">
        <f t="shared" ca="1" si="160"/>
        <v>2012</v>
      </c>
      <c r="J484" s="2">
        <f t="shared" ca="1" si="161"/>
        <v>2337588</v>
      </c>
      <c r="K484" s="4">
        <f t="shared" ca="1" si="162"/>
        <v>8926770</v>
      </c>
      <c r="L484" t="str">
        <f t="shared" ca="1" si="163"/>
        <v>Mark Reyes</v>
      </c>
      <c r="M484" t="str">
        <f t="shared" ca="1" si="164"/>
        <v>Investor</v>
      </c>
      <c r="N484" t="str">
        <f t="shared" ca="1" si="165"/>
        <v>Cash</v>
      </c>
      <c r="O484" s="1">
        <f t="shared" ca="1" si="166"/>
        <v>310</v>
      </c>
      <c r="P484" s="2">
        <f t="shared" ca="1" si="167"/>
        <v>267803.09999999998</v>
      </c>
      <c r="Q484" s="2">
        <f t="shared" ca="1" si="168"/>
        <v>6589182</v>
      </c>
      <c r="R484" s="3">
        <f t="shared" ca="1" si="169"/>
        <v>202881.13636363635</v>
      </c>
      <c r="S484">
        <f t="shared" ca="1" si="170"/>
        <v>44</v>
      </c>
      <c r="T484" s="2">
        <f t="shared" ca="1" si="171"/>
        <v>2337585.1812047288</v>
      </c>
      <c r="U484" s="17">
        <f t="shared" si="174"/>
        <v>2024</v>
      </c>
      <c r="V484" s="20" t="str">
        <f t="shared" si="172"/>
        <v>Oct-2024</v>
      </c>
    </row>
    <row r="485" spans="1:22" x14ac:dyDescent="0.3">
      <c r="A485" t="str">
        <f t="shared" si="173"/>
        <v>TX-00485</v>
      </c>
      <c r="B485" s="6">
        <v>43668</v>
      </c>
      <c r="C485" t="str">
        <f t="shared" ca="1" si="156"/>
        <v>Land</v>
      </c>
      <c r="D485" s="1" t="str">
        <f t="shared" ca="1" si="157"/>
        <v>Bulacan</v>
      </c>
      <c r="E485" s="1">
        <f t="shared" ca="1" si="176"/>
        <v>3</v>
      </c>
      <c r="F485" s="1">
        <f t="shared" ca="1" si="176"/>
        <v>4</v>
      </c>
      <c r="G485">
        <f t="shared" ca="1" si="158"/>
        <v>135</v>
      </c>
      <c r="H485">
        <f t="shared" ca="1" si="159"/>
        <v>97</v>
      </c>
      <c r="I485">
        <f t="shared" ca="1" si="160"/>
        <v>2017</v>
      </c>
      <c r="J485" s="2">
        <f t="shared" ca="1" si="161"/>
        <v>14746642</v>
      </c>
      <c r="K485" s="4">
        <f t="shared" ca="1" si="162"/>
        <v>1592354</v>
      </c>
      <c r="L485" t="str">
        <f t="shared" ca="1" si="163"/>
        <v>Mary Garcia</v>
      </c>
      <c r="M485" t="str">
        <f t="shared" ca="1" si="164"/>
        <v>Corporation</v>
      </c>
      <c r="N485" t="str">
        <f t="shared" ca="1" si="165"/>
        <v>Bank Loan</v>
      </c>
      <c r="O485" s="1">
        <f t="shared" ca="1" si="166"/>
        <v>370</v>
      </c>
      <c r="P485" s="2">
        <f t="shared" ca="1" si="167"/>
        <v>47770.619999999995</v>
      </c>
      <c r="Q485" s="2">
        <f t="shared" ca="1" si="168"/>
        <v>-13154288</v>
      </c>
      <c r="R485" s="3">
        <f t="shared" ca="1" si="169"/>
        <v>16416.0206185567</v>
      </c>
      <c r="S485">
        <f t="shared" ca="1" si="170"/>
        <v>97</v>
      </c>
      <c r="T485" s="2">
        <f t="shared" ca="1" si="171"/>
        <v>14746642.892019214</v>
      </c>
      <c r="U485" s="17">
        <f t="shared" si="174"/>
        <v>2019</v>
      </c>
      <c r="V485" s="20" t="str">
        <f t="shared" si="172"/>
        <v>Jul-2019</v>
      </c>
    </row>
    <row r="486" spans="1:22" x14ac:dyDescent="0.3">
      <c r="A486" t="str">
        <f t="shared" si="173"/>
        <v>TX-00486</v>
      </c>
      <c r="B486" s="6">
        <v>43135</v>
      </c>
      <c r="C486" t="str">
        <f t="shared" ca="1" si="156"/>
        <v>Commercial</v>
      </c>
      <c r="D486" s="1" t="str">
        <f t="shared" ca="1" si="157"/>
        <v>Laguna</v>
      </c>
      <c r="E486" s="1">
        <f t="shared" ca="1" si="176"/>
        <v>3</v>
      </c>
      <c r="F486" s="1">
        <f t="shared" ca="1" si="176"/>
        <v>3</v>
      </c>
      <c r="G486">
        <f t="shared" ca="1" si="158"/>
        <v>62</v>
      </c>
      <c r="H486">
        <f t="shared" ca="1" si="159"/>
        <v>97</v>
      </c>
      <c r="I486">
        <f t="shared" ca="1" si="160"/>
        <v>2017</v>
      </c>
      <c r="J486" s="2">
        <f t="shared" ca="1" si="161"/>
        <v>14818880</v>
      </c>
      <c r="K486" s="4">
        <f t="shared" ca="1" si="162"/>
        <v>12742795</v>
      </c>
      <c r="L486" t="str">
        <f t="shared" ca="1" si="163"/>
        <v>Daniel Cruz</v>
      </c>
      <c r="M486" t="str">
        <f t="shared" ca="1" si="164"/>
        <v>Investor</v>
      </c>
      <c r="N486" t="str">
        <f t="shared" ca="1" si="165"/>
        <v>Installment</v>
      </c>
      <c r="O486" s="1">
        <f t="shared" ca="1" si="166"/>
        <v>188</v>
      </c>
      <c r="P486" s="2">
        <f t="shared" ca="1" si="167"/>
        <v>382283.85</v>
      </c>
      <c r="Q486" s="2">
        <f t="shared" ca="1" si="168"/>
        <v>-2076085</v>
      </c>
      <c r="R486" s="3">
        <f t="shared" ca="1" si="169"/>
        <v>131369.02061855671</v>
      </c>
      <c r="S486">
        <f t="shared" ca="1" si="170"/>
        <v>97</v>
      </c>
      <c r="T486" s="2">
        <f t="shared" ca="1" si="171"/>
        <v>14818880.140097294</v>
      </c>
      <c r="U486" s="17">
        <f t="shared" si="174"/>
        <v>2018</v>
      </c>
      <c r="V486" s="20" t="str">
        <f t="shared" si="172"/>
        <v>Feb-2018</v>
      </c>
    </row>
    <row r="487" spans="1:22" x14ac:dyDescent="0.3">
      <c r="A487" t="str">
        <f t="shared" si="173"/>
        <v>TX-00487</v>
      </c>
      <c r="B487" s="6">
        <v>43232</v>
      </c>
      <c r="C487" t="str">
        <f t="shared" ca="1" si="156"/>
        <v>Commercial</v>
      </c>
      <c r="D487" s="1" t="str">
        <f t="shared" ca="1" si="157"/>
        <v>Laguna</v>
      </c>
      <c r="E487" s="1">
        <f t="shared" ca="1" si="176"/>
        <v>4</v>
      </c>
      <c r="F487" s="1">
        <f t="shared" ca="1" si="176"/>
        <v>1</v>
      </c>
      <c r="G487">
        <f t="shared" ca="1" si="158"/>
        <v>129</v>
      </c>
      <c r="H487">
        <f t="shared" ca="1" si="159"/>
        <v>210</v>
      </c>
      <c r="I487">
        <f t="shared" ca="1" si="160"/>
        <v>2020</v>
      </c>
      <c r="J487" s="2">
        <f t="shared" ca="1" si="161"/>
        <v>5253972</v>
      </c>
      <c r="K487" s="4">
        <f t="shared" ca="1" si="162"/>
        <v>3234556</v>
      </c>
      <c r="L487" t="str">
        <f t="shared" ca="1" si="163"/>
        <v>Daniel Cruz</v>
      </c>
      <c r="M487" t="str">
        <f t="shared" ca="1" si="164"/>
        <v>OFW</v>
      </c>
      <c r="N487" t="str">
        <f t="shared" ca="1" si="165"/>
        <v>Pag-IBIG Loan</v>
      </c>
      <c r="O487" s="1">
        <f t="shared" ca="1" si="166"/>
        <v>264</v>
      </c>
      <c r="P487" s="2">
        <f t="shared" ca="1" si="167"/>
        <v>97036.68</v>
      </c>
      <c r="Q487" s="2">
        <f t="shared" ca="1" si="168"/>
        <v>-2019416</v>
      </c>
      <c r="R487" s="3">
        <f t="shared" ca="1" si="169"/>
        <v>15402.647619047619</v>
      </c>
      <c r="S487">
        <f t="shared" ca="1" si="170"/>
        <v>210</v>
      </c>
      <c r="T487" s="2">
        <f t="shared" ca="1" si="171"/>
        <v>5253972.384359871</v>
      </c>
      <c r="U487" s="17">
        <f t="shared" si="174"/>
        <v>2018</v>
      </c>
      <c r="V487" s="20" t="str">
        <f t="shared" si="172"/>
        <v>May-2018</v>
      </c>
    </row>
    <row r="488" spans="1:22" x14ac:dyDescent="0.3">
      <c r="A488" t="str">
        <f t="shared" si="173"/>
        <v>TX-00488</v>
      </c>
      <c r="B488" s="6">
        <v>44084</v>
      </c>
      <c r="C488" t="str">
        <f t="shared" ca="1" si="156"/>
        <v>Commercial</v>
      </c>
      <c r="D488" s="1" t="str">
        <f t="shared" ca="1" si="157"/>
        <v>Makati</v>
      </c>
      <c r="E488" s="1">
        <f t="shared" ca="1" si="176"/>
        <v>2</v>
      </c>
      <c r="F488" s="1">
        <f t="shared" ca="1" si="176"/>
        <v>1</v>
      </c>
      <c r="G488">
        <f t="shared" ca="1" si="158"/>
        <v>103</v>
      </c>
      <c r="H488">
        <f t="shared" ca="1" si="159"/>
        <v>83</v>
      </c>
      <c r="I488">
        <f t="shared" ca="1" si="160"/>
        <v>2019</v>
      </c>
      <c r="J488" s="2">
        <f t="shared" ca="1" si="161"/>
        <v>7769067</v>
      </c>
      <c r="K488" s="4">
        <f t="shared" ca="1" si="162"/>
        <v>2655958</v>
      </c>
      <c r="L488" t="str">
        <f t="shared" ca="1" si="163"/>
        <v>Rachel Villanueva</v>
      </c>
      <c r="M488" t="str">
        <f t="shared" ca="1" si="164"/>
        <v>Investor</v>
      </c>
      <c r="N488" t="str">
        <f t="shared" ca="1" si="165"/>
        <v>Bank Loan</v>
      </c>
      <c r="O488" s="1">
        <f t="shared" ca="1" si="166"/>
        <v>231</v>
      </c>
      <c r="P488" s="2">
        <f t="shared" ca="1" si="167"/>
        <v>79678.739999999991</v>
      </c>
      <c r="Q488" s="2">
        <f t="shared" ca="1" si="168"/>
        <v>-5113109</v>
      </c>
      <c r="R488" s="3">
        <f t="shared" ca="1" si="169"/>
        <v>31999.493975903613</v>
      </c>
      <c r="S488">
        <f t="shared" ca="1" si="170"/>
        <v>83</v>
      </c>
      <c r="T488" s="2">
        <f t="shared" ca="1" si="171"/>
        <v>7769067.6581368139</v>
      </c>
      <c r="U488" s="17">
        <f t="shared" si="174"/>
        <v>2020</v>
      </c>
      <c r="V488" s="20" t="str">
        <f t="shared" si="172"/>
        <v>Sep-2020</v>
      </c>
    </row>
    <row r="489" spans="1:22" x14ac:dyDescent="0.3">
      <c r="A489" t="str">
        <f t="shared" si="173"/>
        <v>TX-00489</v>
      </c>
      <c r="B489" s="6">
        <v>46022</v>
      </c>
      <c r="C489" t="str">
        <f t="shared" ca="1" si="156"/>
        <v>Commercial</v>
      </c>
      <c r="D489" s="1" t="str">
        <f t="shared" ca="1" si="157"/>
        <v>Bulacan</v>
      </c>
      <c r="E489" s="1">
        <f t="shared" ca="1" si="176"/>
        <v>1</v>
      </c>
      <c r="F489" s="1">
        <f t="shared" ca="1" si="176"/>
        <v>4</v>
      </c>
      <c r="G489">
        <f t="shared" ca="1" si="158"/>
        <v>184</v>
      </c>
      <c r="H489">
        <f t="shared" ca="1" si="159"/>
        <v>175</v>
      </c>
      <c r="I489">
        <f t="shared" ca="1" si="160"/>
        <v>2021</v>
      </c>
      <c r="J489" s="2">
        <f t="shared" ca="1" si="161"/>
        <v>9510605</v>
      </c>
      <c r="K489" s="4">
        <f t="shared" ca="1" si="162"/>
        <v>5426417</v>
      </c>
      <c r="L489" t="str">
        <f t="shared" ca="1" si="163"/>
        <v>Michelle Flores</v>
      </c>
      <c r="M489" t="str">
        <f t="shared" ca="1" si="164"/>
        <v>Corporation</v>
      </c>
      <c r="N489" t="str">
        <f t="shared" ca="1" si="165"/>
        <v>Cash</v>
      </c>
      <c r="O489" s="1">
        <f t="shared" ca="1" si="166"/>
        <v>277</v>
      </c>
      <c r="P489" s="2">
        <f t="shared" ca="1" si="167"/>
        <v>162792.50999999998</v>
      </c>
      <c r="Q489" s="2">
        <f t="shared" ca="1" si="168"/>
        <v>-4084188</v>
      </c>
      <c r="R489" s="3">
        <f t="shared" ca="1" si="169"/>
        <v>31008.097142857143</v>
      </c>
      <c r="S489">
        <f t="shared" ca="1" si="170"/>
        <v>175</v>
      </c>
      <c r="T489" s="2">
        <f t="shared" ca="1" si="171"/>
        <v>9510605.4294351414</v>
      </c>
      <c r="U489" s="17">
        <f t="shared" si="174"/>
        <v>2025</v>
      </c>
      <c r="V489" s="20" t="str">
        <f t="shared" si="172"/>
        <v>Dec-2025</v>
      </c>
    </row>
    <row r="490" spans="1:22" x14ac:dyDescent="0.3">
      <c r="A490" t="str">
        <f t="shared" si="173"/>
        <v>TX-00490</v>
      </c>
      <c r="B490" s="6">
        <v>43552</v>
      </c>
      <c r="C490" t="str">
        <f t="shared" ca="1" si="156"/>
        <v>Land</v>
      </c>
      <c r="D490" s="1" t="str">
        <f t="shared" ca="1" si="157"/>
        <v>Laguna</v>
      </c>
      <c r="E490" s="1">
        <f t="shared" ca="1" si="176"/>
        <v>3</v>
      </c>
      <c r="F490" s="1">
        <f t="shared" ca="1" si="176"/>
        <v>3</v>
      </c>
      <c r="G490">
        <f t="shared" ca="1" si="158"/>
        <v>55</v>
      </c>
      <c r="H490">
        <f t="shared" ca="1" si="159"/>
        <v>67</v>
      </c>
      <c r="I490">
        <f t="shared" ca="1" si="160"/>
        <v>2023</v>
      </c>
      <c r="J490" s="2">
        <f t="shared" ca="1" si="161"/>
        <v>5341194</v>
      </c>
      <c r="K490" s="4">
        <f t="shared" ca="1" si="162"/>
        <v>11005407</v>
      </c>
      <c r="L490" t="str">
        <f t="shared" ca="1" si="163"/>
        <v>Anna Mendoza</v>
      </c>
      <c r="M490" t="str">
        <f t="shared" ca="1" si="164"/>
        <v>Investor</v>
      </c>
      <c r="N490" t="str">
        <f t="shared" ca="1" si="165"/>
        <v>Installment</v>
      </c>
      <c r="O490" s="1">
        <f t="shared" ca="1" si="166"/>
        <v>189</v>
      </c>
      <c r="P490" s="2">
        <f t="shared" ca="1" si="167"/>
        <v>330162.20999999996</v>
      </c>
      <c r="Q490" s="2">
        <f t="shared" ca="1" si="168"/>
        <v>5664213</v>
      </c>
      <c r="R490" s="3">
        <f t="shared" ca="1" si="169"/>
        <v>164259.80597014926</v>
      </c>
      <c r="S490">
        <f t="shared" ca="1" si="170"/>
        <v>67</v>
      </c>
      <c r="T490" s="2">
        <f t="shared" ca="1" si="171"/>
        <v>5341192.9395230729</v>
      </c>
      <c r="U490" s="17">
        <f t="shared" si="174"/>
        <v>2019</v>
      </c>
      <c r="V490" s="20" t="str">
        <f t="shared" si="172"/>
        <v>Mar-2019</v>
      </c>
    </row>
    <row r="491" spans="1:22" x14ac:dyDescent="0.3">
      <c r="A491" t="str">
        <f t="shared" si="173"/>
        <v>TX-00491</v>
      </c>
      <c r="B491" s="6">
        <v>45559</v>
      </c>
      <c r="C491" t="str">
        <f t="shared" ca="1" si="156"/>
        <v>Land</v>
      </c>
      <c r="D491" s="1" t="str">
        <f t="shared" ca="1" si="157"/>
        <v>Laguna</v>
      </c>
      <c r="E491" s="1">
        <f t="shared" ca="1" si="176"/>
        <v>2</v>
      </c>
      <c r="F491" s="1">
        <f t="shared" ca="1" si="176"/>
        <v>2</v>
      </c>
      <c r="G491">
        <f t="shared" ca="1" si="158"/>
        <v>98</v>
      </c>
      <c r="H491">
        <f t="shared" ca="1" si="159"/>
        <v>183</v>
      </c>
      <c r="I491">
        <f t="shared" ca="1" si="160"/>
        <v>2016</v>
      </c>
      <c r="J491" s="2">
        <f t="shared" ca="1" si="161"/>
        <v>7327800</v>
      </c>
      <c r="K491" s="4">
        <f t="shared" ca="1" si="162"/>
        <v>6899229</v>
      </c>
      <c r="L491" t="str">
        <f t="shared" ca="1" si="163"/>
        <v>Joy Ramos</v>
      </c>
      <c r="M491" t="str">
        <f t="shared" ca="1" si="164"/>
        <v>Investor</v>
      </c>
      <c r="N491" t="str">
        <f t="shared" ca="1" si="165"/>
        <v>Bank Loan</v>
      </c>
      <c r="O491" s="1">
        <f t="shared" ca="1" si="166"/>
        <v>110</v>
      </c>
      <c r="P491" s="2">
        <f t="shared" ca="1" si="167"/>
        <v>206976.87</v>
      </c>
      <c r="Q491" s="2">
        <f t="shared" ca="1" si="168"/>
        <v>-428571</v>
      </c>
      <c r="R491" s="3">
        <f t="shared" ca="1" si="169"/>
        <v>37700.704918032789</v>
      </c>
      <c r="S491">
        <f t="shared" ca="1" si="170"/>
        <v>183</v>
      </c>
      <c r="T491" s="2">
        <f t="shared" ca="1" si="171"/>
        <v>7327800.05848563</v>
      </c>
      <c r="U491" s="17">
        <f t="shared" si="174"/>
        <v>2024</v>
      </c>
      <c r="V491" s="20" t="str">
        <f t="shared" si="172"/>
        <v>Sep-2024</v>
      </c>
    </row>
    <row r="492" spans="1:22" x14ac:dyDescent="0.3">
      <c r="A492" t="str">
        <f t="shared" si="173"/>
        <v>TX-00492</v>
      </c>
      <c r="B492" s="6">
        <v>45022</v>
      </c>
      <c r="C492" t="str">
        <f t="shared" ca="1" si="156"/>
        <v>Condo</v>
      </c>
      <c r="D492" s="1" t="str">
        <f t="shared" ca="1" si="157"/>
        <v>Laguna</v>
      </c>
      <c r="E492" s="1">
        <f t="shared" ca="1" si="176"/>
        <v>3</v>
      </c>
      <c r="F492" s="1">
        <f t="shared" ca="1" si="176"/>
        <v>2</v>
      </c>
      <c r="G492">
        <f t="shared" ca="1" si="158"/>
        <v>92</v>
      </c>
      <c r="H492">
        <f t="shared" ca="1" si="159"/>
        <v>187</v>
      </c>
      <c r="I492">
        <f t="shared" ca="1" si="160"/>
        <v>2015</v>
      </c>
      <c r="J492" s="2">
        <f t="shared" ca="1" si="161"/>
        <v>9280552</v>
      </c>
      <c r="K492" s="4">
        <f t="shared" ca="1" si="162"/>
        <v>4416257</v>
      </c>
      <c r="L492" t="str">
        <f t="shared" ca="1" si="163"/>
        <v>Daniel Cruz</v>
      </c>
      <c r="M492" t="str">
        <f t="shared" ca="1" si="164"/>
        <v>Corporation</v>
      </c>
      <c r="N492" t="str">
        <f t="shared" ca="1" si="165"/>
        <v>Bank Loan</v>
      </c>
      <c r="O492" s="1">
        <f t="shared" ca="1" si="166"/>
        <v>165</v>
      </c>
      <c r="P492" s="2">
        <f t="shared" ca="1" si="167"/>
        <v>132487.71</v>
      </c>
      <c r="Q492" s="2">
        <f t="shared" ca="1" si="168"/>
        <v>-4864295</v>
      </c>
      <c r="R492" s="3">
        <f t="shared" ca="1" si="169"/>
        <v>48002.793478260872</v>
      </c>
      <c r="S492">
        <f t="shared" ca="1" si="170"/>
        <v>92</v>
      </c>
      <c r="T492" s="2">
        <f t="shared" ca="1" si="171"/>
        <v>9280552.5241385419</v>
      </c>
      <c r="U492" s="17">
        <f t="shared" si="174"/>
        <v>2023</v>
      </c>
      <c r="V492" s="20" t="str">
        <f t="shared" si="172"/>
        <v>Apr-2023</v>
      </c>
    </row>
    <row r="493" spans="1:22" x14ac:dyDescent="0.3">
      <c r="A493" t="str">
        <f t="shared" si="173"/>
        <v>TX-00493</v>
      </c>
      <c r="B493" s="6">
        <v>45914</v>
      </c>
      <c r="C493" t="str">
        <f t="shared" ca="1" si="156"/>
        <v>House &amp; Lot</v>
      </c>
      <c r="D493" s="1" t="str">
        <f t="shared" ca="1" si="157"/>
        <v>Bulacan</v>
      </c>
      <c r="E493" s="1">
        <f t="shared" ca="1" si="176"/>
        <v>3</v>
      </c>
      <c r="F493" s="1">
        <f t="shared" ca="1" si="176"/>
        <v>2</v>
      </c>
      <c r="G493">
        <f t="shared" ca="1" si="158"/>
        <v>101</v>
      </c>
      <c r="H493">
        <f t="shared" ca="1" si="159"/>
        <v>106</v>
      </c>
      <c r="I493">
        <f t="shared" ca="1" si="160"/>
        <v>2022</v>
      </c>
      <c r="J493" s="2">
        <f t="shared" ca="1" si="161"/>
        <v>3438885</v>
      </c>
      <c r="K493" s="4">
        <f t="shared" ca="1" si="162"/>
        <v>5253736</v>
      </c>
      <c r="L493" t="str">
        <f t="shared" ca="1" si="163"/>
        <v>Michelle Flores</v>
      </c>
      <c r="M493" t="str">
        <f t="shared" ca="1" si="164"/>
        <v>Investor</v>
      </c>
      <c r="N493" t="str">
        <f t="shared" ca="1" si="165"/>
        <v>Pag-IBIG Loan</v>
      </c>
      <c r="O493" s="1">
        <f t="shared" ca="1" si="166"/>
        <v>120</v>
      </c>
      <c r="P493" s="2">
        <f t="shared" ca="1" si="167"/>
        <v>157612.07999999999</v>
      </c>
      <c r="Q493" s="2">
        <f t="shared" ca="1" si="168"/>
        <v>1814851</v>
      </c>
      <c r="R493" s="3">
        <f t="shared" ca="1" si="169"/>
        <v>49563.547169811318</v>
      </c>
      <c r="S493">
        <f t="shared" ca="1" si="170"/>
        <v>106</v>
      </c>
      <c r="T493" s="2">
        <f t="shared" ca="1" si="171"/>
        <v>3438884.4722559783</v>
      </c>
      <c r="U493" s="17">
        <f t="shared" si="174"/>
        <v>2025</v>
      </c>
      <c r="V493" s="20" t="str">
        <f t="shared" si="172"/>
        <v>Sep-2025</v>
      </c>
    </row>
    <row r="494" spans="1:22" x14ac:dyDescent="0.3">
      <c r="A494" t="str">
        <f t="shared" si="173"/>
        <v>TX-00494</v>
      </c>
      <c r="B494" s="6">
        <v>45476</v>
      </c>
      <c r="C494" t="str">
        <f t="shared" ca="1" si="156"/>
        <v>Commercial</v>
      </c>
      <c r="D494" s="1" t="str">
        <f t="shared" ca="1" si="157"/>
        <v>Laguna</v>
      </c>
      <c r="E494" s="1">
        <f t="shared" ca="1" si="176"/>
        <v>3</v>
      </c>
      <c r="F494" s="1">
        <f t="shared" ca="1" si="176"/>
        <v>1</v>
      </c>
      <c r="G494">
        <f t="shared" ca="1" si="158"/>
        <v>185</v>
      </c>
      <c r="H494">
        <f t="shared" ca="1" si="159"/>
        <v>123</v>
      </c>
      <c r="I494">
        <f t="shared" ca="1" si="160"/>
        <v>2018</v>
      </c>
      <c r="J494" s="2">
        <f t="shared" ca="1" si="161"/>
        <v>9507112</v>
      </c>
      <c r="K494" s="4">
        <f t="shared" ca="1" si="162"/>
        <v>3751604</v>
      </c>
      <c r="L494" t="str">
        <f t="shared" ca="1" si="163"/>
        <v>Rachel Villanueva</v>
      </c>
      <c r="M494" t="str">
        <f t="shared" ca="1" si="164"/>
        <v>Investor</v>
      </c>
      <c r="N494" t="str">
        <f t="shared" ca="1" si="165"/>
        <v>Installment</v>
      </c>
      <c r="O494" s="1">
        <f t="shared" ca="1" si="166"/>
        <v>254</v>
      </c>
      <c r="P494" s="2">
        <f t="shared" ca="1" si="167"/>
        <v>112548.12</v>
      </c>
      <c r="Q494" s="2">
        <f t="shared" ca="1" si="168"/>
        <v>-5755508</v>
      </c>
      <c r="R494" s="3">
        <f t="shared" ca="1" si="169"/>
        <v>30500.845528455284</v>
      </c>
      <c r="S494">
        <f t="shared" ca="1" si="170"/>
        <v>123</v>
      </c>
      <c r="T494" s="2">
        <f t="shared" ca="1" si="171"/>
        <v>9507112.6053897329</v>
      </c>
      <c r="U494" s="17">
        <f t="shared" si="174"/>
        <v>2024</v>
      </c>
      <c r="V494" s="20" t="str">
        <f t="shared" si="172"/>
        <v>Jul-2024</v>
      </c>
    </row>
    <row r="495" spans="1:22" x14ac:dyDescent="0.3">
      <c r="A495" t="str">
        <f t="shared" si="173"/>
        <v>TX-00495</v>
      </c>
      <c r="B495" s="6">
        <v>43627</v>
      </c>
      <c r="C495" t="str">
        <f t="shared" ca="1" si="156"/>
        <v>Condo</v>
      </c>
      <c r="D495" s="1" t="str">
        <f t="shared" ca="1" si="157"/>
        <v>Makati</v>
      </c>
      <c r="E495" s="1">
        <f t="shared" ca="1" si="176"/>
        <v>4</v>
      </c>
      <c r="F495" s="1">
        <f t="shared" ca="1" si="176"/>
        <v>4</v>
      </c>
      <c r="G495">
        <f t="shared" ca="1" si="158"/>
        <v>144</v>
      </c>
      <c r="H495">
        <f t="shared" ca="1" si="159"/>
        <v>156</v>
      </c>
      <c r="I495">
        <f t="shared" ca="1" si="160"/>
        <v>2017</v>
      </c>
      <c r="J495" s="2">
        <f t="shared" ca="1" si="161"/>
        <v>13379102</v>
      </c>
      <c r="K495" s="4">
        <f t="shared" ca="1" si="162"/>
        <v>5042444</v>
      </c>
      <c r="L495" t="str">
        <f t="shared" ca="1" si="163"/>
        <v>John Dela Cruz</v>
      </c>
      <c r="M495" t="str">
        <f t="shared" ca="1" si="164"/>
        <v>Individual</v>
      </c>
      <c r="N495" t="str">
        <f t="shared" ca="1" si="165"/>
        <v>Bank Loan</v>
      </c>
      <c r="O495" s="1">
        <f t="shared" ca="1" si="166"/>
        <v>181</v>
      </c>
      <c r="P495" s="2">
        <f t="shared" ca="1" si="167"/>
        <v>151273.32</v>
      </c>
      <c r="Q495" s="2">
        <f t="shared" ca="1" si="168"/>
        <v>-8336658</v>
      </c>
      <c r="R495" s="3">
        <f t="shared" ca="1" si="169"/>
        <v>35016.972222222219</v>
      </c>
      <c r="S495">
        <f t="shared" ca="1" si="170"/>
        <v>144</v>
      </c>
      <c r="T495" s="2">
        <f t="shared" ca="1" si="171"/>
        <v>13379102.62311043</v>
      </c>
      <c r="U495" s="17">
        <f t="shared" si="174"/>
        <v>2019</v>
      </c>
      <c r="V495" s="20" t="str">
        <f t="shared" si="172"/>
        <v>Jun-2019</v>
      </c>
    </row>
    <row r="496" spans="1:22" x14ac:dyDescent="0.3">
      <c r="A496" t="str">
        <f t="shared" si="173"/>
        <v>TX-00496</v>
      </c>
      <c r="B496" s="6">
        <v>46050</v>
      </c>
      <c r="C496" t="str">
        <f t="shared" ca="1" si="156"/>
        <v>House &amp; Lot</v>
      </c>
      <c r="D496" s="1" t="str">
        <f t="shared" ca="1" si="157"/>
        <v>Laguna</v>
      </c>
      <c r="E496" s="1">
        <f t="shared" ca="1" si="176"/>
        <v>1</v>
      </c>
      <c r="F496" s="1">
        <f t="shared" ca="1" si="176"/>
        <v>4</v>
      </c>
      <c r="G496">
        <f t="shared" ca="1" si="158"/>
        <v>165</v>
      </c>
      <c r="H496">
        <f t="shared" ca="1" si="159"/>
        <v>206</v>
      </c>
      <c r="I496">
        <f t="shared" ca="1" si="160"/>
        <v>2014</v>
      </c>
      <c r="J496" s="2">
        <f t="shared" ca="1" si="161"/>
        <v>5201688</v>
      </c>
      <c r="K496" s="4">
        <f t="shared" ca="1" si="162"/>
        <v>2489099</v>
      </c>
      <c r="L496" t="str">
        <f t="shared" ca="1" si="163"/>
        <v>John Dela Cruz</v>
      </c>
      <c r="M496" t="str">
        <f t="shared" ca="1" si="164"/>
        <v>Corporation</v>
      </c>
      <c r="N496" t="str">
        <f t="shared" ca="1" si="165"/>
        <v>Cash</v>
      </c>
      <c r="O496" s="1">
        <f t="shared" ca="1" si="166"/>
        <v>284</v>
      </c>
      <c r="P496" s="2">
        <f t="shared" ca="1" si="167"/>
        <v>74672.97</v>
      </c>
      <c r="Q496" s="2">
        <f t="shared" ca="1" si="168"/>
        <v>-2712589</v>
      </c>
      <c r="R496" s="3">
        <f t="shared" ca="1" si="169"/>
        <v>12083.004854368932</v>
      </c>
      <c r="S496">
        <f t="shared" ca="1" si="170"/>
        <v>206</v>
      </c>
      <c r="T496" s="2">
        <f t="shared" ca="1" si="171"/>
        <v>5201688.52148245</v>
      </c>
      <c r="U496" s="17">
        <f t="shared" si="174"/>
        <v>2026</v>
      </c>
      <c r="V496" s="20" t="str">
        <f t="shared" si="172"/>
        <v>Jan-2026</v>
      </c>
    </row>
    <row r="497" spans="1:22" x14ac:dyDescent="0.3">
      <c r="A497" t="str">
        <f t="shared" si="173"/>
        <v>TX-00497</v>
      </c>
      <c r="B497" s="6">
        <v>44180</v>
      </c>
      <c r="C497" t="str">
        <f t="shared" ca="1" si="156"/>
        <v>Commercial</v>
      </c>
      <c r="D497" s="1" t="str">
        <f t="shared" ca="1" si="157"/>
        <v>Bulacan</v>
      </c>
      <c r="E497" s="1">
        <f t="shared" ca="1" si="176"/>
        <v>3</v>
      </c>
      <c r="F497" s="1">
        <f t="shared" ca="1" si="176"/>
        <v>1</v>
      </c>
      <c r="G497">
        <f t="shared" ca="1" si="158"/>
        <v>187</v>
      </c>
      <c r="H497">
        <f t="shared" ca="1" si="159"/>
        <v>134</v>
      </c>
      <c r="I497">
        <f t="shared" ca="1" si="160"/>
        <v>2022</v>
      </c>
      <c r="J497" s="2">
        <f t="shared" ca="1" si="161"/>
        <v>11347584</v>
      </c>
      <c r="K497" s="4">
        <f t="shared" ca="1" si="162"/>
        <v>7611599</v>
      </c>
      <c r="L497" t="str">
        <f t="shared" ca="1" si="163"/>
        <v>Michelle Flores</v>
      </c>
      <c r="M497" t="str">
        <f t="shared" ca="1" si="164"/>
        <v>Investor</v>
      </c>
      <c r="N497" t="str">
        <f t="shared" ca="1" si="165"/>
        <v>Bank Loan</v>
      </c>
      <c r="O497" s="1">
        <f t="shared" ca="1" si="166"/>
        <v>118</v>
      </c>
      <c r="P497" s="2">
        <f t="shared" ca="1" si="167"/>
        <v>228347.97</v>
      </c>
      <c r="Q497" s="2">
        <f t="shared" ca="1" si="168"/>
        <v>-3735985</v>
      </c>
      <c r="R497" s="3">
        <f t="shared" ca="1" si="169"/>
        <v>56802.977611940296</v>
      </c>
      <c r="S497">
        <f t="shared" ca="1" si="170"/>
        <v>134</v>
      </c>
      <c r="T497" s="2">
        <f t="shared" ca="1" si="171"/>
        <v>11347584.329231756</v>
      </c>
      <c r="U497" s="17">
        <f t="shared" si="174"/>
        <v>2020</v>
      </c>
      <c r="V497" s="20" t="str">
        <f t="shared" si="172"/>
        <v>Dec-2020</v>
      </c>
    </row>
    <row r="498" spans="1:22" x14ac:dyDescent="0.3">
      <c r="A498" t="str">
        <f t="shared" si="173"/>
        <v>TX-00498</v>
      </c>
      <c r="B498" s="6">
        <v>43383</v>
      </c>
      <c r="C498" t="str">
        <f t="shared" ca="1" si="156"/>
        <v>Commercial</v>
      </c>
      <c r="D498" s="1" t="str">
        <f t="shared" ca="1" si="157"/>
        <v>Cavite</v>
      </c>
      <c r="E498" s="1">
        <f t="shared" ca="1" si="176"/>
        <v>3</v>
      </c>
      <c r="F498" s="1">
        <f t="shared" ca="1" si="176"/>
        <v>3</v>
      </c>
      <c r="G498">
        <f t="shared" ca="1" si="158"/>
        <v>156</v>
      </c>
      <c r="H498">
        <f t="shared" ca="1" si="159"/>
        <v>123</v>
      </c>
      <c r="I498">
        <f t="shared" ca="1" si="160"/>
        <v>2011</v>
      </c>
      <c r="J498" s="2">
        <f t="shared" ca="1" si="161"/>
        <v>2926287</v>
      </c>
      <c r="K498" s="4">
        <f t="shared" ca="1" si="162"/>
        <v>4994302</v>
      </c>
      <c r="L498" t="str">
        <f t="shared" ca="1" si="163"/>
        <v>Mary Garcia</v>
      </c>
      <c r="M498" t="str">
        <f t="shared" ca="1" si="164"/>
        <v>Investor</v>
      </c>
      <c r="N498" t="str">
        <f t="shared" ca="1" si="165"/>
        <v>Cash</v>
      </c>
      <c r="O498" s="1">
        <f t="shared" ca="1" si="166"/>
        <v>193</v>
      </c>
      <c r="P498" s="2">
        <f t="shared" ca="1" si="167"/>
        <v>149829.06</v>
      </c>
      <c r="Q498" s="2">
        <f t="shared" ca="1" si="168"/>
        <v>2068015</v>
      </c>
      <c r="R498" s="3">
        <f t="shared" ca="1" si="169"/>
        <v>40604.081300813006</v>
      </c>
      <c r="S498">
        <f t="shared" ca="1" si="170"/>
        <v>123</v>
      </c>
      <c r="T498" s="2">
        <f t="shared" ca="1" si="171"/>
        <v>2926286.293297274</v>
      </c>
      <c r="U498" s="17">
        <f t="shared" si="174"/>
        <v>2018</v>
      </c>
      <c r="V498" s="20" t="str">
        <f t="shared" si="172"/>
        <v>Oct-2018</v>
      </c>
    </row>
    <row r="499" spans="1:22" x14ac:dyDescent="0.3">
      <c r="A499" t="str">
        <f t="shared" si="173"/>
        <v>TX-00499</v>
      </c>
      <c r="B499" s="6">
        <v>43808</v>
      </c>
      <c r="C499" t="str">
        <f t="shared" ca="1" si="156"/>
        <v>Commercial</v>
      </c>
      <c r="D499" s="1" t="str">
        <f t="shared" ca="1" si="157"/>
        <v>Laguna</v>
      </c>
      <c r="E499" s="1">
        <f t="shared" ca="1" si="176"/>
        <v>4</v>
      </c>
      <c r="F499" s="1">
        <f t="shared" ca="1" si="176"/>
        <v>1</v>
      </c>
      <c r="G499">
        <f t="shared" ca="1" si="158"/>
        <v>184</v>
      </c>
      <c r="H499">
        <f t="shared" ca="1" si="159"/>
        <v>86</v>
      </c>
      <c r="I499">
        <f t="shared" ca="1" si="160"/>
        <v>2012</v>
      </c>
      <c r="J499" s="2">
        <f t="shared" ca="1" si="161"/>
        <v>7354465</v>
      </c>
      <c r="K499" s="4">
        <f t="shared" ca="1" si="162"/>
        <v>8368521</v>
      </c>
      <c r="L499" t="str">
        <f t="shared" ca="1" si="163"/>
        <v>Joy Ramos</v>
      </c>
      <c r="M499" t="str">
        <f t="shared" ca="1" si="164"/>
        <v>Corporation</v>
      </c>
      <c r="N499" t="str">
        <f t="shared" ca="1" si="165"/>
        <v>Pag-IBIG Loan</v>
      </c>
      <c r="O499" s="1">
        <f t="shared" ca="1" si="166"/>
        <v>153</v>
      </c>
      <c r="P499" s="2">
        <f t="shared" ca="1" si="167"/>
        <v>251055.63</v>
      </c>
      <c r="Q499" s="2">
        <f t="shared" ca="1" si="168"/>
        <v>1014056</v>
      </c>
      <c r="R499" s="3">
        <f t="shared" ca="1" si="169"/>
        <v>97308.383720930229</v>
      </c>
      <c r="S499">
        <f t="shared" ca="1" si="170"/>
        <v>86</v>
      </c>
      <c r="T499" s="2">
        <f t="shared" ca="1" si="171"/>
        <v>7354464.8621169589</v>
      </c>
      <c r="U499" s="17">
        <f t="shared" si="174"/>
        <v>2019</v>
      </c>
      <c r="V499" s="20" t="str">
        <f t="shared" si="172"/>
        <v>Dec-2019</v>
      </c>
    </row>
    <row r="500" spans="1:22" x14ac:dyDescent="0.3">
      <c r="A500" t="str">
        <f t="shared" si="173"/>
        <v>TX-00500</v>
      </c>
      <c r="B500" s="6">
        <v>44828</v>
      </c>
      <c r="C500" t="str">
        <f t="shared" ca="1" si="156"/>
        <v>Condo</v>
      </c>
      <c r="D500" s="1" t="str">
        <f t="shared" ca="1" si="157"/>
        <v>Laguna</v>
      </c>
      <c r="E500" s="1">
        <f t="shared" ca="1" si="176"/>
        <v>1</v>
      </c>
      <c r="F500" s="1">
        <f t="shared" ca="1" si="176"/>
        <v>4</v>
      </c>
      <c r="G500">
        <f t="shared" ca="1" si="158"/>
        <v>152</v>
      </c>
      <c r="H500">
        <f t="shared" ca="1" si="159"/>
        <v>75</v>
      </c>
      <c r="I500">
        <f t="shared" ca="1" si="160"/>
        <v>2011</v>
      </c>
      <c r="J500" s="2">
        <f t="shared" ca="1" si="161"/>
        <v>12550723</v>
      </c>
      <c r="K500" s="4">
        <f t="shared" ca="1" si="162"/>
        <v>5377806</v>
      </c>
      <c r="L500" t="str">
        <f t="shared" ca="1" si="163"/>
        <v>Mark Reyes</v>
      </c>
      <c r="M500" t="str">
        <f t="shared" ca="1" si="164"/>
        <v>Corporation</v>
      </c>
      <c r="N500" t="str">
        <f t="shared" ca="1" si="165"/>
        <v>Pag-IBIG Loan</v>
      </c>
      <c r="O500" s="1">
        <f t="shared" ca="1" si="166"/>
        <v>370</v>
      </c>
      <c r="P500" s="2">
        <f t="shared" ca="1" si="167"/>
        <v>161334.18</v>
      </c>
      <c r="Q500" s="2">
        <f t="shared" ca="1" si="168"/>
        <v>-7172917</v>
      </c>
      <c r="R500" s="3">
        <f t="shared" ca="1" si="169"/>
        <v>35380.302631578947</v>
      </c>
      <c r="S500">
        <f t="shared" ca="1" si="170"/>
        <v>152</v>
      </c>
      <c r="T500" s="2">
        <f t="shared" ca="1" si="171"/>
        <v>12550723.571514247</v>
      </c>
      <c r="U500" s="17">
        <f t="shared" si="174"/>
        <v>2022</v>
      </c>
      <c r="V500" s="20" t="str">
        <f t="shared" si="172"/>
        <v>Sep-2022</v>
      </c>
    </row>
    <row r="501" spans="1:22" x14ac:dyDescent="0.3">
      <c r="A501" t="str">
        <f t="shared" si="173"/>
        <v>TX-00501</v>
      </c>
      <c r="B501" s="6">
        <v>44829</v>
      </c>
      <c r="C501" t="str">
        <f t="shared" ca="1" si="156"/>
        <v>House &amp; Lot</v>
      </c>
      <c r="D501" s="1" t="str">
        <f t="shared" ca="1" si="157"/>
        <v>Laguna</v>
      </c>
      <c r="E501" s="1">
        <f t="shared" ca="1" si="176"/>
        <v>2</v>
      </c>
      <c r="F501" s="1">
        <f t="shared" ca="1" si="176"/>
        <v>2</v>
      </c>
      <c r="G501">
        <f t="shared" ca="1" si="158"/>
        <v>163</v>
      </c>
      <c r="H501">
        <f t="shared" ca="1" si="159"/>
        <v>213</v>
      </c>
      <c r="I501">
        <f t="shared" ca="1" si="160"/>
        <v>2021</v>
      </c>
      <c r="J501" s="2">
        <f t="shared" ca="1" si="161"/>
        <v>5498453</v>
      </c>
      <c r="K501" s="4">
        <f t="shared" ca="1" si="162"/>
        <v>9109199</v>
      </c>
      <c r="L501" t="str">
        <f t="shared" ca="1" si="163"/>
        <v>Rachel Villanueva</v>
      </c>
      <c r="M501" t="str">
        <f t="shared" ca="1" si="164"/>
        <v>OFW</v>
      </c>
      <c r="N501" t="str">
        <f t="shared" ca="1" si="165"/>
        <v>Pag-IBIG Loan</v>
      </c>
      <c r="O501" s="1">
        <f t="shared" ca="1" si="166"/>
        <v>324</v>
      </c>
      <c r="P501" s="2">
        <f t="shared" ca="1" si="167"/>
        <v>273275.96999999997</v>
      </c>
      <c r="Q501" s="2">
        <f t="shared" ca="1" si="168"/>
        <v>3610746</v>
      </c>
      <c r="R501" s="3">
        <f t="shared" ca="1" si="169"/>
        <v>42766.19248826291</v>
      </c>
      <c r="S501">
        <f t="shared" ca="1" si="170"/>
        <v>213</v>
      </c>
      <c r="T501" s="2">
        <f t="shared" ca="1" si="171"/>
        <v>5498452.3433160204</v>
      </c>
      <c r="U501" s="17">
        <f t="shared" si="174"/>
        <v>2022</v>
      </c>
      <c r="V501" s="20" t="str">
        <f t="shared" si="172"/>
        <v>Sep-2022</v>
      </c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0AB5-E981-46F1-92D3-B716FA5C1DBC}">
  <dimension ref="A3:F9"/>
  <sheetViews>
    <sheetView workbookViewId="0">
      <selection activeCell="B3" sqref="B3"/>
    </sheetView>
  </sheetViews>
  <sheetFormatPr defaultRowHeight="14.4" x14ac:dyDescent="0.3"/>
  <cols>
    <col min="1" max="1" width="18.33203125" bestFit="1" customWidth="1"/>
    <col min="2" max="5" width="19.109375" bestFit="1" customWidth="1"/>
    <col min="6" max="6" width="20.6640625" bestFit="1" customWidth="1"/>
  </cols>
  <sheetData>
    <row r="3" spans="1:6" x14ac:dyDescent="0.3">
      <c r="A3" s="9" t="s">
        <v>41</v>
      </c>
      <c r="B3" s="9" t="s">
        <v>157</v>
      </c>
    </row>
    <row r="4" spans="1:6" x14ac:dyDescent="0.3">
      <c r="A4" s="9" t="s">
        <v>42</v>
      </c>
      <c r="B4" t="s">
        <v>39</v>
      </c>
      <c r="C4" t="s">
        <v>158</v>
      </c>
      <c r="D4" t="s">
        <v>159</v>
      </c>
      <c r="E4" t="s">
        <v>160</v>
      </c>
      <c r="F4" t="s">
        <v>17</v>
      </c>
    </row>
    <row r="5" spans="1:6" x14ac:dyDescent="0.3">
      <c r="A5" s="5" t="s">
        <v>18</v>
      </c>
      <c r="B5" s="2">
        <v>333886028</v>
      </c>
      <c r="C5" s="2">
        <v>188641336</v>
      </c>
      <c r="D5" s="2">
        <v>144314040</v>
      </c>
      <c r="E5" s="2">
        <v>282589682</v>
      </c>
      <c r="F5" s="2">
        <v>949431086</v>
      </c>
    </row>
    <row r="6" spans="1:6" x14ac:dyDescent="0.3">
      <c r="A6" s="5" t="s">
        <v>19</v>
      </c>
      <c r="B6" s="2">
        <v>211583724</v>
      </c>
      <c r="C6" s="2">
        <v>182014312</v>
      </c>
      <c r="D6" s="2">
        <v>162900268</v>
      </c>
      <c r="E6" s="2">
        <v>243578081</v>
      </c>
      <c r="F6" s="2">
        <v>800076385</v>
      </c>
    </row>
    <row r="7" spans="1:6" x14ac:dyDescent="0.3">
      <c r="A7" s="5" t="s">
        <v>20</v>
      </c>
      <c r="B7" s="2">
        <v>160725525</v>
      </c>
      <c r="C7" s="2">
        <v>270659851</v>
      </c>
      <c r="D7" s="2">
        <v>220199414</v>
      </c>
      <c r="E7" s="2">
        <v>255113294</v>
      </c>
      <c r="F7" s="2">
        <v>906698084</v>
      </c>
    </row>
    <row r="8" spans="1:6" x14ac:dyDescent="0.3">
      <c r="A8" s="5" t="s">
        <v>21</v>
      </c>
      <c r="B8" s="2">
        <v>259468528</v>
      </c>
      <c r="C8" s="2">
        <v>203263452</v>
      </c>
      <c r="D8" s="2">
        <v>270315626</v>
      </c>
      <c r="E8" s="2">
        <v>211696171</v>
      </c>
      <c r="F8" s="2">
        <v>944743777</v>
      </c>
    </row>
    <row r="9" spans="1:6" x14ac:dyDescent="0.3">
      <c r="A9" s="5" t="s">
        <v>17</v>
      </c>
      <c r="B9" s="2">
        <v>965663805</v>
      </c>
      <c r="C9" s="2">
        <v>844578951</v>
      </c>
      <c r="D9" s="2">
        <v>797729348</v>
      </c>
      <c r="E9" s="2">
        <v>992977228</v>
      </c>
      <c r="F9" s="2">
        <v>3600949332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1A493-E85A-4AAB-A63C-8F304E1774FC}">
  <dimension ref="A4:C45"/>
  <sheetViews>
    <sheetView topLeftCell="A4" workbookViewId="0">
      <selection activeCell="I5" sqref="I5"/>
    </sheetView>
  </sheetViews>
  <sheetFormatPr defaultRowHeight="14.4" x14ac:dyDescent="0.3"/>
  <cols>
    <col min="1" max="1" width="13.109375" bestFit="1" customWidth="1"/>
    <col min="2" max="2" width="21.5546875" bestFit="1" customWidth="1"/>
    <col min="3" max="3" width="16.109375" bestFit="1" customWidth="1"/>
    <col min="4" max="364" width="15.6640625" bestFit="1" customWidth="1"/>
    <col min="365" max="501" width="16.6640625" bestFit="1" customWidth="1"/>
    <col min="502" max="502" width="11.77734375" bestFit="1" customWidth="1"/>
    <col min="503" max="1000" width="21.5546875" bestFit="1" customWidth="1"/>
    <col min="1001" max="1001" width="26.33203125" bestFit="1" customWidth="1"/>
    <col min="1002" max="1002" width="25.21875" bestFit="1" customWidth="1"/>
  </cols>
  <sheetData>
    <row r="4" spans="1:3" x14ac:dyDescent="0.3">
      <c r="A4" s="9" t="s">
        <v>43</v>
      </c>
      <c r="B4" t="s">
        <v>161</v>
      </c>
      <c r="C4" t="s">
        <v>162</v>
      </c>
    </row>
    <row r="5" spans="1:3" x14ac:dyDescent="0.3">
      <c r="A5" s="5" t="s">
        <v>22</v>
      </c>
      <c r="B5" s="17">
        <v>126</v>
      </c>
      <c r="C5" s="17">
        <v>126</v>
      </c>
    </row>
    <row r="6" spans="1:3" x14ac:dyDescent="0.3">
      <c r="A6" s="22" t="s">
        <v>45</v>
      </c>
      <c r="B6" s="17">
        <v>14</v>
      </c>
      <c r="C6" s="17">
        <v>14</v>
      </c>
    </row>
    <row r="7" spans="1:3" x14ac:dyDescent="0.3">
      <c r="A7" s="22" t="s">
        <v>46</v>
      </c>
      <c r="B7" s="17">
        <v>17</v>
      </c>
      <c r="C7" s="17">
        <v>17</v>
      </c>
    </row>
    <row r="8" spans="1:3" x14ac:dyDescent="0.3">
      <c r="A8" s="22" t="s">
        <v>47</v>
      </c>
      <c r="B8" s="17">
        <v>17</v>
      </c>
      <c r="C8" s="17">
        <v>17</v>
      </c>
    </row>
    <row r="9" spans="1:3" x14ac:dyDescent="0.3">
      <c r="A9" s="22" t="s">
        <v>48</v>
      </c>
      <c r="B9" s="17">
        <v>15</v>
      </c>
      <c r="C9" s="17">
        <v>15</v>
      </c>
    </row>
    <row r="10" spans="1:3" x14ac:dyDescent="0.3">
      <c r="A10" s="22" t="s">
        <v>49</v>
      </c>
      <c r="B10" s="17">
        <v>16</v>
      </c>
      <c r="C10" s="17">
        <v>16</v>
      </c>
    </row>
    <row r="11" spans="1:3" x14ac:dyDescent="0.3">
      <c r="A11" s="22" t="s">
        <v>50</v>
      </c>
      <c r="B11" s="17">
        <v>16</v>
      </c>
      <c r="C11" s="17">
        <v>16</v>
      </c>
    </row>
    <row r="12" spans="1:3" x14ac:dyDescent="0.3">
      <c r="A12" s="22" t="s">
        <v>51</v>
      </c>
      <c r="B12" s="17">
        <v>13</v>
      </c>
      <c r="C12" s="17">
        <v>13</v>
      </c>
    </row>
    <row r="13" spans="1:3" x14ac:dyDescent="0.3">
      <c r="A13" s="22" t="s">
        <v>52</v>
      </c>
      <c r="B13" s="17">
        <v>13</v>
      </c>
      <c r="C13" s="17">
        <v>13</v>
      </c>
    </row>
    <row r="14" spans="1:3" x14ac:dyDescent="0.3">
      <c r="A14" s="22" t="s">
        <v>53</v>
      </c>
      <c r="B14" s="17">
        <v>5</v>
      </c>
      <c r="C14" s="17">
        <v>5</v>
      </c>
    </row>
    <row r="15" spans="1:3" x14ac:dyDescent="0.3">
      <c r="A15" s="5" t="s">
        <v>23</v>
      </c>
      <c r="B15" s="17">
        <v>127</v>
      </c>
      <c r="C15" s="17">
        <v>127</v>
      </c>
    </row>
    <row r="16" spans="1:3" x14ac:dyDescent="0.3">
      <c r="A16" s="22" t="s">
        <v>45</v>
      </c>
      <c r="B16" s="17">
        <v>17</v>
      </c>
      <c r="C16" s="17">
        <v>17</v>
      </c>
    </row>
    <row r="17" spans="1:3" x14ac:dyDescent="0.3">
      <c r="A17" s="22" t="s">
        <v>46</v>
      </c>
      <c r="B17" s="17">
        <v>14</v>
      </c>
      <c r="C17" s="17">
        <v>14</v>
      </c>
    </row>
    <row r="18" spans="1:3" x14ac:dyDescent="0.3">
      <c r="A18" s="22" t="s">
        <v>47</v>
      </c>
      <c r="B18" s="17">
        <v>17</v>
      </c>
      <c r="C18" s="17">
        <v>17</v>
      </c>
    </row>
    <row r="19" spans="1:3" x14ac:dyDescent="0.3">
      <c r="A19" s="22" t="s">
        <v>48</v>
      </c>
      <c r="B19" s="17">
        <v>11</v>
      </c>
      <c r="C19" s="17">
        <v>11</v>
      </c>
    </row>
    <row r="20" spans="1:3" x14ac:dyDescent="0.3">
      <c r="A20" s="22" t="s">
        <v>49</v>
      </c>
      <c r="B20" s="17">
        <v>12</v>
      </c>
      <c r="C20" s="17">
        <v>12</v>
      </c>
    </row>
    <row r="21" spans="1:3" x14ac:dyDescent="0.3">
      <c r="A21" s="22" t="s">
        <v>50</v>
      </c>
      <c r="B21" s="17">
        <v>17</v>
      </c>
      <c r="C21" s="17">
        <v>17</v>
      </c>
    </row>
    <row r="22" spans="1:3" x14ac:dyDescent="0.3">
      <c r="A22" s="22" t="s">
        <v>51</v>
      </c>
      <c r="B22" s="17">
        <v>20</v>
      </c>
      <c r="C22" s="17">
        <v>20</v>
      </c>
    </row>
    <row r="23" spans="1:3" x14ac:dyDescent="0.3">
      <c r="A23" s="22" t="s">
        <v>52</v>
      </c>
      <c r="B23" s="17">
        <v>15</v>
      </c>
      <c r="C23" s="17">
        <v>15</v>
      </c>
    </row>
    <row r="24" spans="1:3" x14ac:dyDescent="0.3">
      <c r="A24" s="22" t="s">
        <v>53</v>
      </c>
      <c r="B24" s="17">
        <v>4</v>
      </c>
      <c r="C24" s="17">
        <v>4</v>
      </c>
    </row>
    <row r="25" spans="1:3" x14ac:dyDescent="0.3">
      <c r="A25" s="5" t="s">
        <v>24</v>
      </c>
      <c r="B25" s="17">
        <v>129</v>
      </c>
      <c r="C25" s="17">
        <v>129</v>
      </c>
    </row>
    <row r="26" spans="1:3" x14ac:dyDescent="0.3">
      <c r="A26" s="22" t="s">
        <v>45</v>
      </c>
      <c r="B26" s="17">
        <v>13</v>
      </c>
      <c r="C26" s="17">
        <v>13</v>
      </c>
    </row>
    <row r="27" spans="1:3" x14ac:dyDescent="0.3">
      <c r="A27" s="22" t="s">
        <v>46</v>
      </c>
      <c r="B27" s="17">
        <v>22</v>
      </c>
      <c r="C27" s="17">
        <v>22</v>
      </c>
    </row>
    <row r="28" spans="1:3" x14ac:dyDescent="0.3">
      <c r="A28" s="22" t="s">
        <v>47</v>
      </c>
      <c r="B28" s="17">
        <v>10</v>
      </c>
      <c r="C28" s="17">
        <v>10</v>
      </c>
    </row>
    <row r="29" spans="1:3" x14ac:dyDescent="0.3">
      <c r="A29" s="22" t="s">
        <v>48</v>
      </c>
      <c r="B29" s="17">
        <v>15</v>
      </c>
      <c r="C29" s="17">
        <v>15</v>
      </c>
    </row>
    <row r="30" spans="1:3" x14ac:dyDescent="0.3">
      <c r="A30" s="22" t="s">
        <v>49</v>
      </c>
      <c r="B30" s="17">
        <v>20</v>
      </c>
      <c r="C30" s="17">
        <v>20</v>
      </c>
    </row>
    <row r="31" spans="1:3" x14ac:dyDescent="0.3">
      <c r="A31" s="22" t="s">
        <v>50</v>
      </c>
      <c r="B31" s="17">
        <v>19</v>
      </c>
      <c r="C31" s="17">
        <v>19</v>
      </c>
    </row>
    <row r="32" spans="1:3" x14ac:dyDescent="0.3">
      <c r="A32" s="22" t="s">
        <v>51</v>
      </c>
      <c r="B32" s="17">
        <v>13</v>
      </c>
      <c r="C32" s="17">
        <v>13</v>
      </c>
    </row>
    <row r="33" spans="1:3" x14ac:dyDescent="0.3">
      <c r="A33" s="22" t="s">
        <v>52</v>
      </c>
      <c r="B33" s="17">
        <v>15</v>
      </c>
      <c r="C33" s="17">
        <v>15</v>
      </c>
    </row>
    <row r="34" spans="1:3" x14ac:dyDescent="0.3">
      <c r="A34" s="22" t="s">
        <v>53</v>
      </c>
      <c r="B34" s="17">
        <v>2</v>
      </c>
      <c r="C34" s="17">
        <v>2</v>
      </c>
    </row>
    <row r="35" spans="1:3" x14ac:dyDescent="0.3">
      <c r="A35" s="5" t="s">
        <v>25</v>
      </c>
      <c r="B35" s="17">
        <v>118</v>
      </c>
      <c r="C35" s="17">
        <v>118</v>
      </c>
    </row>
    <row r="36" spans="1:3" x14ac:dyDescent="0.3">
      <c r="A36" s="22" t="s">
        <v>45</v>
      </c>
      <c r="B36" s="17">
        <v>11</v>
      </c>
      <c r="C36" s="17">
        <v>11</v>
      </c>
    </row>
    <row r="37" spans="1:3" x14ac:dyDescent="0.3">
      <c r="A37" s="22" t="s">
        <v>46</v>
      </c>
      <c r="B37" s="17">
        <v>12</v>
      </c>
      <c r="C37" s="17">
        <v>12</v>
      </c>
    </row>
    <row r="38" spans="1:3" x14ac:dyDescent="0.3">
      <c r="A38" s="22" t="s">
        <v>47</v>
      </c>
      <c r="B38" s="17">
        <v>13</v>
      </c>
      <c r="C38" s="17">
        <v>13</v>
      </c>
    </row>
    <row r="39" spans="1:3" x14ac:dyDescent="0.3">
      <c r="A39" s="22" t="s">
        <v>48</v>
      </c>
      <c r="B39" s="17">
        <v>18</v>
      </c>
      <c r="C39" s="17">
        <v>18</v>
      </c>
    </row>
    <row r="40" spans="1:3" x14ac:dyDescent="0.3">
      <c r="A40" s="22" t="s">
        <v>49</v>
      </c>
      <c r="B40" s="17">
        <v>20</v>
      </c>
      <c r="C40" s="17">
        <v>20</v>
      </c>
    </row>
    <row r="41" spans="1:3" x14ac:dyDescent="0.3">
      <c r="A41" s="22" t="s">
        <v>50</v>
      </c>
      <c r="B41" s="17">
        <v>13</v>
      </c>
      <c r="C41" s="17">
        <v>13</v>
      </c>
    </row>
    <row r="42" spans="1:3" x14ac:dyDescent="0.3">
      <c r="A42" s="22" t="s">
        <v>51</v>
      </c>
      <c r="B42" s="17">
        <v>11</v>
      </c>
      <c r="C42" s="17">
        <v>11</v>
      </c>
    </row>
    <row r="43" spans="1:3" x14ac:dyDescent="0.3">
      <c r="A43" s="22" t="s">
        <v>52</v>
      </c>
      <c r="B43" s="17">
        <v>13</v>
      </c>
      <c r="C43" s="17">
        <v>13</v>
      </c>
    </row>
    <row r="44" spans="1:3" x14ac:dyDescent="0.3">
      <c r="A44" s="22" t="s">
        <v>53</v>
      </c>
      <c r="B44" s="17">
        <v>7</v>
      </c>
      <c r="C44" s="17">
        <v>7</v>
      </c>
    </row>
    <row r="45" spans="1:3" x14ac:dyDescent="0.3">
      <c r="A45" s="5" t="s">
        <v>17</v>
      </c>
      <c r="B45" s="17">
        <v>500</v>
      </c>
      <c r="C45" s="17">
        <v>500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4119A-BEE7-4CE7-BF89-2C7F2C2D88F9}">
  <dimension ref="A1:C13"/>
  <sheetViews>
    <sheetView workbookViewId="0">
      <selection activeCell="B3" sqref="B3"/>
    </sheetView>
  </sheetViews>
  <sheetFormatPr defaultRowHeight="14.4" x14ac:dyDescent="0.3"/>
  <cols>
    <col min="1" max="1" width="15.33203125" bestFit="1" customWidth="1"/>
    <col min="2" max="2" width="23.77734375" style="15" bestFit="1" customWidth="1"/>
    <col min="3" max="3" width="20.6640625" style="15" bestFit="1" customWidth="1"/>
  </cols>
  <sheetData>
    <row r="1" spans="1:3" x14ac:dyDescent="0.3">
      <c r="B1"/>
      <c r="C1"/>
    </row>
    <row r="2" spans="1:3" x14ac:dyDescent="0.3">
      <c r="B2"/>
      <c r="C2"/>
    </row>
    <row r="3" spans="1:3" x14ac:dyDescent="0.3">
      <c r="A3" s="9" t="s">
        <v>44</v>
      </c>
      <c r="B3" s="2" t="s">
        <v>29</v>
      </c>
      <c r="C3" s="2" t="s">
        <v>26</v>
      </c>
    </row>
    <row r="4" spans="1:3" x14ac:dyDescent="0.3">
      <c r="A4" s="5" t="s">
        <v>30</v>
      </c>
      <c r="B4" s="2">
        <v>10247278.709999995</v>
      </c>
      <c r="C4" s="2">
        <v>341575957</v>
      </c>
    </row>
    <row r="5" spans="1:3" x14ac:dyDescent="0.3">
      <c r="A5" s="5" t="s">
        <v>31</v>
      </c>
      <c r="B5" s="2">
        <v>9443311.4400000013</v>
      </c>
      <c r="C5" s="2">
        <v>314777048</v>
      </c>
    </row>
    <row r="6" spans="1:3" x14ac:dyDescent="0.3">
      <c r="A6" s="5" t="s">
        <v>32</v>
      </c>
      <c r="B6" s="2">
        <v>12761131.889999999</v>
      </c>
      <c r="C6" s="2">
        <v>425371063</v>
      </c>
    </row>
    <row r="7" spans="1:3" x14ac:dyDescent="0.3">
      <c r="A7" s="5" t="s">
        <v>33</v>
      </c>
      <c r="B7" s="2">
        <v>12502979.310000004</v>
      </c>
      <c r="C7" s="2">
        <v>416765977</v>
      </c>
    </row>
    <row r="8" spans="1:3" x14ac:dyDescent="0.3">
      <c r="A8" s="5" t="s">
        <v>34</v>
      </c>
      <c r="B8" s="2">
        <v>11288600.039999997</v>
      </c>
      <c r="C8" s="2">
        <v>376286668</v>
      </c>
    </row>
    <row r="9" spans="1:3" x14ac:dyDescent="0.3">
      <c r="A9" s="5" t="s">
        <v>35</v>
      </c>
      <c r="B9" s="2">
        <v>12940905.51</v>
      </c>
      <c r="C9" s="2">
        <v>431363517</v>
      </c>
    </row>
    <row r="10" spans="1:3" x14ac:dyDescent="0.3">
      <c r="A10" s="5" t="s">
        <v>36</v>
      </c>
      <c r="B10" s="2">
        <v>13721153.399999997</v>
      </c>
      <c r="C10" s="2">
        <v>457371780</v>
      </c>
    </row>
    <row r="11" spans="1:3" x14ac:dyDescent="0.3">
      <c r="A11" s="5" t="s">
        <v>37</v>
      </c>
      <c r="B11" s="2">
        <v>12240064.680000002</v>
      </c>
      <c r="C11" s="2">
        <v>408002156</v>
      </c>
    </row>
    <row r="12" spans="1:3" x14ac:dyDescent="0.3">
      <c r="A12" s="5" t="s">
        <v>38</v>
      </c>
      <c r="B12" s="2">
        <v>12883054.979999997</v>
      </c>
      <c r="C12" s="2">
        <v>429435166</v>
      </c>
    </row>
    <row r="13" spans="1:3" x14ac:dyDescent="0.3">
      <c r="A13" s="5" t="s">
        <v>17</v>
      </c>
      <c r="B13" s="2">
        <v>108028479.96000001</v>
      </c>
      <c r="C13" s="2">
        <v>3600949332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D79FA-5F2C-4B10-B756-677487F6E11A}">
  <dimension ref="A3:D24"/>
  <sheetViews>
    <sheetView workbookViewId="0">
      <selection activeCell="C12" sqref="C12"/>
    </sheetView>
  </sheetViews>
  <sheetFormatPr defaultRowHeight="14.4" x14ac:dyDescent="0.3"/>
  <cols>
    <col min="1" max="1" width="10.77734375" bestFit="1" customWidth="1"/>
    <col min="2" max="2" width="20.6640625" bestFit="1" customWidth="1"/>
    <col min="3" max="3" width="9.109375" bestFit="1" customWidth="1"/>
    <col min="4" max="4" width="16.33203125" style="16" bestFit="1" customWidth="1"/>
  </cols>
  <sheetData>
    <row r="3" spans="1:4" x14ac:dyDescent="0.3">
      <c r="A3" s="9" t="s">
        <v>54</v>
      </c>
      <c r="B3" t="s">
        <v>26</v>
      </c>
      <c r="C3" s="19" t="s">
        <v>55</v>
      </c>
      <c r="D3" s="18"/>
    </row>
    <row r="4" spans="1:4" x14ac:dyDescent="0.3">
      <c r="A4" s="5" t="s">
        <v>45</v>
      </c>
      <c r="B4" s="2">
        <v>380903729</v>
      </c>
    </row>
    <row r="5" spans="1:4" x14ac:dyDescent="0.3">
      <c r="A5" s="5" t="s">
        <v>46</v>
      </c>
      <c r="B5" s="2">
        <v>514991002</v>
      </c>
      <c r="C5" s="16">
        <f>(B5-B4)/B4</f>
        <v>0.35202404910034368</v>
      </c>
    </row>
    <row r="6" spans="1:4" x14ac:dyDescent="0.3">
      <c r="A6" s="5" t="s">
        <v>47</v>
      </c>
      <c r="B6" s="2">
        <v>401821680</v>
      </c>
      <c r="C6" s="16">
        <f t="shared" ref="C6:C11" si="0">(B6-B5)/B5</f>
        <v>-0.21975009575021662</v>
      </c>
    </row>
    <row r="7" spans="1:4" x14ac:dyDescent="0.3">
      <c r="A7" s="5" t="s">
        <v>48</v>
      </c>
      <c r="B7" s="2">
        <v>427079476</v>
      </c>
      <c r="C7" s="16">
        <f t="shared" si="0"/>
        <v>6.2858221089514138E-2</v>
      </c>
    </row>
    <row r="8" spans="1:4" x14ac:dyDescent="0.3">
      <c r="A8" s="5" t="s">
        <v>49</v>
      </c>
      <c r="B8" s="2">
        <v>477950669</v>
      </c>
      <c r="C8" s="16">
        <f t="shared" si="0"/>
        <v>0.11911411308372027</v>
      </c>
    </row>
    <row r="9" spans="1:4" x14ac:dyDescent="0.3">
      <c r="A9" s="5" t="s">
        <v>50</v>
      </c>
      <c r="B9" s="2">
        <v>436610985</v>
      </c>
      <c r="C9" s="16">
        <f t="shared" si="0"/>
        <v>-8.6493620955680681E-2</v>
      </c>
    </row>
    <row r="10" spans="1:4" x14ac:dyDescent="0.3">
      <c r="A10" s="5" t="s">
        <v>51</v>
      </c>
      <c r="B10" s="2">
        <v>436348673</v>
      </c>
      <c r="C10" s="16">
        <f t="shared" si="0"/>
        <v>-6.0079111385619394E-4</v>
      </c>
    </row>
    <row r="11" spans="1:4" x14ac:dyDescent="0.3">
      <c r="A11" s="5" t="s">
        <v>52</v>
      </c>
      <c r="B11" s="2">
        <v>387245992</v>
      </c>
      <c r="C11" s="16">
        <f t="shared" si="0"/>
        <v>-0.11253083609125586</v>
      </c>
    </row>
    <row r="12" spans="1:4" x14ac:dyDescent="0.3">
      <c r="A12" s="5" t="s">
        <v>53</v>
      </c>
      <c r="B12" s="2">
        <v>137997126</v>
      </c>
      <c r="C12" s="16">
        <f>(B12-B11)/B11</f>
        <v>-0.64364479206798353</v>
      </c>
    </row>
    <row r="13" spans="1:4" x14ac:dyDescent="0.3">
      <c r="A13" s="5" t="s">
        <v>17</v>
      </c>
      <c r="B13" s="2">
        <v>3600949332</v>
      </c>
      <c r="C13" s="16"/>
    </row>
    <row r="14" spans="1:4" x14ac:dyDescent="0.3">
      <c r="C14" s="16"/>
    </row>
    <row r="17" spans="3:3" x14ac:dyDescent="0.3">
      <c r="C17" s="16"/>
    </row>
    <row r="18" spans="3:3" x14ac:dyDescent="0.3">
      <c r="C18" s="16"/>
    </row>
    <row r="19" spans="3:3" x14ac:dyDescent="0.3">
      <c r="C19" s="16"/>
    </row>
    <row r="20" spans="3:3" x14ac:dyDescent="0.3">
      <c r="C20" s="16"/>
    </row>
    <row r="21" spans="3:3" x14ac:dyDescent="0.3">
      <c r="C21" s="16"/>
    </row>
    <row r="22" spans="3:3" x14ac:dyDescent="0.3">
      <c r="C22" s="16"/>
    </row>
    <row r="23" spans="3:3" x14ac:dyDescent="0.3">
      <c r="C23" s="16"/>
    </row>
    <row r="24" spans="3:3" x14ac:dyDescent="0.3">
      <c r="C24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0A2A1-2351-4D5C-8160-5E9F189AD249}">
  <dimension ref="A1:B101"/>
  <sheetViews>
    <sheetView workbookViewId="0">
      <selection activeCell="E10" sqref="E10"/>
    </sheetView>
  </sheetViews>
  <sheetFormatPr defaultRowHeight="14.4" x14ac:dyDescent="0.3"/>
  <cols>
    <col min="1" max="1" width="12.5546875" bestFit="1" customWidth="1"/>
    <col min="2" max="2" width="20.6640625" style="2" bestFit="1" customWidth="1"/>
  </cols>
  <sheetData>
    <row r="1" spans="1:2" x14ac:dyDescent="0.3">
      <c r="A1" s="9" t="s">
        <v>57</v>
      </c>
      <c r="B1" s="2" t="s">
        <v>26</v>
      </c>
    </row>
    <row r="2" spans="1:2" x14ac:dyDescent="0.3">
      <c r="A2" s="5" t="s">
        <v>58</v>
      </c>
      <c r="B2" s="2">
        <v>18483742</v>
      </c>
    </row>
    <row r="3" spans="1:2" x14ac:dyDescent="0.3">
      <c r="A3" s="5" t="s">
        <v>59</v>
      </c>
      <c r="B3" s="2">
        <v>46462170</v>
      </c>
    </row>
    <row r="4" spans="1:2" x14ac:dyDescent="0.3">
      <c r="A4" s="5" t="s">
        <v>60</v>
      </c>
      <c r="B4" s="2">
        <v>43474071</v>
      </c>
    </row>
    <row r="5" spans="1:2" x14ac:dyDescent="0.3">
      <c r="A5" s="5" t="s">
        <v>61</v>
      </c>
      <c r="B5" s="2">
        <v>35081080</v>
      </c>
    </row>
    <row r="6" spans="1:2" x14ac:dyDescent="0.3">
      <c r="A6" s="5" t="s">
        <v>62</v>
      </c>
      <c r="B6" s="2">
        <v>46466801</v>
      </c>
    </row>
    <row r="7" spans="1:2" x14ac:dyDescent="0.3">
      <c r="A7" s="5" t="s">
        <v>63</v>
      </c>
      <c r="B7" s="2">
        <v>55464342</v>
      </c>
    </row>
    <row r="8" spans="1:2" x14ac:dyDescent="0.3">
      <c r="A8" s="5" t="s">
        <v>64</v>
      </c>
      <c r="B8" s="2">
        <v>42886427</v>
      </c>
    </row>
    <row r="9" spans="1:2" x14ac:dyDescent="0.3">
      <c r="A9" s="5" t="s">
        <v>65</v>
      </c>
      <c r="B9" s="2">
        <v>34885133</v>
      </c>
    </row>
    <row r="10" spans="1:2" x14ac:dyDescent="0.3">
      <c r="A10" s="5" t="s">
        <v>66</v>
      </c>
      <c r="B10" s="2">
        <v>25499585</v>
      </c>
    </row>
    <row r="11" spans="1:2" x14ac:dyDescent="0.3">
      <c r="A11" s="5" t="s">
        <v>67</v>
      </c>
      <c r="B11" s="2">
        <v>28866909</v>
      </c>
    </row>
    <row r="12" spans="1:2" x14ac:dyDescent="0.3">
      <c r="A12" s="5" t="s">
        <v>68</v>
      </c>
      <c r="B12" s="2">
        <v>21562781</v>
      </c>
    </row>
    <row r="13" spans="1:2" x14ac:dyDescent="0.3">
      <c r="A13" s="5" t="s">
        <v>69</v>
      </c>
      <c r="B13" s="2">
        <v>12355734</v>
      </c>
    </row>
    <row r="14" spans="1:2" x14ac:dyDescent="0.3">
      <c r="A14" s="5" t="s">
        <v>70</v>
      </c>
      <c r="B14" s="2">
        <v>51065007</v>
      </c>
    </row>
    <row r="15" spans="1:2" x14ac:dyDescent="0.3">
      <c r="A15" s="5" t="s">
        <v>71</v>
      </c>
      <c r="B15" s="2">
        <v>64299482</v>
      </c>
    </row>
    <row r="16" spans="1:2" x14ac:dyDescent="0.3">
      <c r="A16" s="5" t="s">
        <v>72</v>
      </c>
      <c r="B16" s="2">
        <v>68831606</v>
      </c>
    </row>
    <row r="17" spans="1:2" x14ac:dyDescent="0.3">
      <c r="A17" s="5" t="s">
        <v>73</v>
      </c>
      <c r="B17" s="2">
        <v>27981308</v>
      </c>
    </row>
    <row r="18" spans="1:2" x14ac:dyDescent="0.3">
      <c r="A18" s="5" t="s">
        <v>74</v>
      </c>
      <c r="B18" s="2">
        <v>46917875</v>
      </c>
    </row>
    <row r="19" spans="1:2" x14ac:dyDescent="0.3">
      <c r="A19" s="5" t="s">
        <v>75</v>
      </c>
      <c r="B19" s="2">
        <v>33822780</v>
      </c>
    </row>
    <row r="20" spans="1:2" x14ac:dyDescent="0.3">
      <c r="A20" s="5" t="s">
        <v>76</v>
      </c>
      <c r="B20" s="2">
        <v>26573963</v>
      </c>
    </row>
    <row r="21" spans="1:2" x14ac:dyDescent="0.3">
      <c r="A21" s="5" t="s">
        <v>77</v>
      </c>
      <c r="B21" s="2">
        <v>25710754</v>
      </c>
    </row>
    <row r="22" spans="1:2" x14ac:dyDescent="0.3">
      <c r="A22" s="5" t="s">
        <v>78</v>
      </c>
      <c r="B22" s="2">
        <v>55801152</v>
      </c>
    </row>
    <row r="23" spans="1:2" x14ac:dyDescent="0.3">
      <c r="A23" s="5" t="s">
        <v>79</v>
      </c>
      <c r="B23" s="2">
        <v>33529215</v>
      </c>
    </row>
    <row r="24" spans="1:2" x14ac:dyDescent="0.3">
      <c r="A24" s="5" t="s">
        <v>80</v>
      </c>
      <c r="B24" s="2">
        <v>16171267</v>
      </c>
    </row>
    <row r="25" spans="1:2" x14ac:dyDescent="0.3">
      <c r="A25" s="5" t="s">
        <v>81</v>
      </c>
      <c r="B25" s="2">
        <v>15870059</v>
      </c>
    </row>
    <row r="26" spans="1:2" x14ac:dyDescent="0.3">
      <c r="A26" s="5" t="s">
        <v>82</v>
      </c>
      <c r="B26" s="2">
        <v>37288727</v>
      </c>
    </row>
    <row r="27" spans="1:2" x14ac:dyDescent="0.3">
      <c r="A27" s="5" t="s">
        <v>83</v>
      </c>
      <c r="B27" s="2">
        <v>78907971</v>
      </c>
    </row>
    <row r="28" spans="1:2" x14ac:dyDescent="0.3">
      <c r="A28" s="5" t="s">
        <v>84</v>
      </c>
      <c r="B28" s="2">
        <v>43703947</v>
      </c>
    </row>
    <row r="29" spans="1:2" x14ac:dyDescent="0.3">
      <c r="A29" s="5" t="s">
        <v>85</v>
      </c>
      <c r="B29" s="2">
        <v>44067129</v>
      </c>
    </row>
    <row r="30" spans="1:2" x14ac:dyDescent="0.3">
      <c r="A30" s="5" t="s">
        <v>86</v>
      </c>
      <c r="B30" s="2">
        <v>10628788</v>
      </c>
    </row>
    <row r="31" spans="1:2" x14ac:dyDescent="0.3">
      <c r="A31" s="5" t="s">
        <v>87</v>
      </c>
      <c r="B31" s="2">
        <v>15104727</v>
      </c>
    </row>
    <row r="32" spans="1:2" x14ac:dyDescent="0.3">
      <c r="A32" s="5" t="s">
        <v>88</v>
      </c>
      <c r="B32" s="2">
        <v>14678110</v>
      </c>
    </row>
    <row r="33" spans="1:2" x14ac:dyDescent="0.3">
      <c r="A33" s="5" t="s">
        <v>89</v>
      </c>
      <c r="B33" s="2">
        <v>31077439</v>
      </c>
    </row>
    <row r="34" spans="1:2" x14ac:dyDescent="0.3">
      <c r="A34" s="5" t="s">
        <v>90</v>
      </c>
      <c r="B34" s="2">
        <v>43862232</v>
      </c>
    </row>
    <row r="35" spans="1:2" x14ac:dyDescent="0.3">
      <c r="A35" s="5" t="s">
        <v>91</v>
      </c>
      <c r="B35" s="2">
        <v>42102507</v>
      </c>
    </row>
    <row r="36" spans="1:2" x14ac:dyDescent="0.3">
      <c r="A36" s="5" t="s">
        <v>92</v>
      </c>
      <c r="B36" s="2">
        <v>23598338</v>
      </c>
    </row>
    <row r="37" spans="1:2" x14ac:dyDescent="0.3">
      <c r="A37" s="5" t="s">
        <v>93</v>
      </c>
      <c r="B37" s="2">
        <v>28917757</v>
      </c>
    </row>
    <row r="38" spans="1:2" x14ac:dyDescent="0.3">
      <c r="A38" s="5" t="s">
        <v>94</v>
      </c>
      <c r="B38" s="2">
        <v>41875893</v>
      </c>
    </row>
    <row r="39" spans="1:2" x14ac:dyDescent="0.3">
      <c r="A39" s="5" t="s">
        <v>95</v>
      </c>
      <c r="B39" s="2">
        <v>14365417</v>
      </c>
    </row>
    <row r="40" spans="1:2" x14ac:dyDescent="0.3">
      <c r="A40" s="5" t="s">
        <v>96</v>
      </c>
      <c r="B40" s="2">
        <v>41694487</v>
      </c>
    </row>
    <row r="41" spans="1:2" x14ac:dyDescent="0.3">
      <c r="A41" s="5" t="s">
        <v>97</v>
      </c>
      <c r="B41" s="2">
        <v>43921940</v>
      </c>
    </row>
    <row r="42" spans="1:2" x14ac:dyDescent="0.3">
      <c r="A42" s="5" t="s">
        <v>98</v>
      </c>
      <c r="B42" s="2">
        <v>44243105</v>
      </c>
    </row>
    <row r="43" spans="1:2" x14ac:dyDescent="0.3">
      <c r="A43" s="5" t="s">
        <v>99</v>
      </c>
      <c r="B43" s="2">
        <v>52269285</v>
      </c>
    </row>
    <row r="44" spans="1:2" x14ac:dyDescent="0.3">
      <c r="A44" s="5" t="s">
        <v>100</v>
      </c>
      <c r="B44" s="2">
        <v>42810739</v>
      </c>
    </row>
    <row r="45" spans="1:2" x14ac:dyDescent="0.3">
      <c r="A45" s="5" t="s">
        <v>101</v>
      </c>
      <c r="B45" s="2">
        <v>31092242</v>
      </c>
    </row>
    <row r="46" spans="1:2" x14ac:dyDescent="0.3">
      <c r="A46" s="5" t="s">
        <v>102</v>
      </c>
      <c r="B46" s="2">
        <v>48437440</v>
      </c>
    </row>
    <row r="47" spans="1:2" x14ac:dyDescent="0.3">
      <c r="A47" s="5" t="s">
        <v>103</v>
      </c>
      <c r="B47" s="2">
        <v>40105660</v>
      </c>
    </row>
    <row r="48" spans="1:2" x14ac:dyDescent="0.3">
      <c r="A48" s="5" t="s">
        <v>104</v>
      </c>
      <c r="B48" s="2">
        <v>53862391</v>
      </c>
    </row>
    <row r="49" spans="1:2" x14ac:dyDescent="0.3">
      <c r="A49" s="5" t="s">
        <v>105</v>
      </c>
      <c r="B49" s="2">
        <v>39613526</v>
      </c>
    </row>
    <row r="50" spans="1:2" x14ac:dyDescent="0.3">
      <c r="A50" s="5" t="s">
        <v>106</v>
      </c>
      <c r="B50" s="2">
        <v>71930293</v>
      </c>
    </row>
    <row r="51" spans="1:2" x14ac:dyDescent="0.3">
      <c r="A51" s="5" t="s">
        <v>107</v>
      </c>
      <c r="B51" s="2">
        <v>30750042</v>
      </c>
    </row>
    <row r="52" spans="1:2" x14ac:dyDescent="0.3">
      <c r="A52" s="5" t="s">
        <v>108</v>
      </c>
      <c r="B52" s="2">
        <v>24379034</v>
      </c>
    </row>
    <row r="53" spans="1:2" x14ac:dyDescent="0.3">
      <c r="A53" s="5" t="s">
        <v>109</v>
      </c>
      <c r="B53" s="2">
        <v>24711736</v>
      </c>
    </row>
    <row r="54" spans="1:2" x14ac:dyDescent="0.3">
      <c r="A54" s="5" t="s">
        <v>110</v>
      </c>
      <c r="B54" s="2">
        <v>60339014</v>
      </c>
    </row>
    <row r="55" spans="1:2" x14ac:dyDescent="0.3">
      <c r="A55" s="5" t="s">
        <v>111</v>
      </c>
      <c r="B55" s="2">
        <v>20477612</v>
      </c>
    </row>
    <row r="56" spans="1:2" x14ac:dyDescent="0.3">
      <c r="A56" s="5" t="s">
        <v>112</v>
      </c>
      <c r="B56" s="2">
        <v>51187408</v>
      </c>
    </row>
    <row r="57" spans="1:2" x14ac:dyDescent="0.3">
      <c r="A57" s="5" t="s">
        <v>113</v>
      </c>
      <c r="B57" s="2">
        <v>21592171</v>
      </c>
    </row>
    <row r="58" spans="1:2" x14ac:dyDescent="0.3">
      <c r="A58" s="5" t="s">
        <v>114</v>
      </c>
      <c r="B58" s="2">
        <v>28959337</v>
      </c>
    </row>
    <row r="59" spans="1:2" x14ac:dyDescent="0.3">
      <c r="A59" s="5" t="s">
        <v>115</v>
      </c>
      <c r="B59" s="2">
        <v>22682086</v>
      </c>
    </row>
    <row r="60" spans="1:2" x14ac:dyDescent="0.3">
      <c r="A60" s="5" t="s">
        <v>116</v>
      </c>
      <c r="B60" s="2">
        <v>32907743</v>
      </c>
    </row>
    <row r="61" spans="1:2" x14ac:dyDescent="0.3">
      <c r="A61" s="5" t="s">
        <v>117</v>
      </c>
      <c r="B61" s="2">
        <v>46430748</v>
      </c>
    </row>
    <row r="62" spans="1:2" x14ac:dyDescent="0.3">
      <c r="A62" s="5" t="s">
        <v>118</v>
      </c>
      <c r="B62" s="2">
        <v>29571161</v>
      </c>
    </row>
    <row r="63" spans="1:2" x14ac:dyDescent="0.3">
      <c r="A63" s="5" t="s">
        <v>119</v>
      </c>
      <c r="B63" s="2">
        <v>33042012</v>
      </c>
    </row>
    <row r="64" spans="1:2" x14ac:dyDescent="0.3">
      <c r="A64" s="5" t="s">
        <v>120</v>
      </c>
      <c r="B64" s="2">
        <v>8230049</v>
      </c>
    </row>
    <row r="65" spans="1:2" x14ac:dyDescent="0.3">
      <c r="A65" s="5" t="s">
        <v>121</v>
      </c>
      <c r="B65" s="2">
        <v>54344407</v>
      </c>
    </row>
    <row r="66" spans="1:2" x14ac:dyDescent="0.3">
      <c r="A66" s="5" t="s">
        <v>122</v>
      </c>
      <c r="B66" s="2">
        <v>33037071</v>
      </c>
    </row>
    <row r="67" spans="1:2" x14ac:dyDescent="0.3">
      <c r="A67" s="5" t="s">
        <v>123</v>
      </c>
      <c r="B67" s="2">
        <v>43098268</v>
      </c>
    </row>
    <row r="68" spans="1:2" x14ac:dyDescent="0.3">
      <c r="A68" s="5" t="s">
        <v>124</v>
      </c>
      <c r="B68" s="2">
        <v>41865609</v>
      </c>
    </row>
    <row r="69" spans="1:2" x14ac:dyDescent="0.3">
      <c r="A69" s="5" t="s">
        <v>125</v>
      </c>
      <c r="B69" s="2">
        <v>22299035</v>
      </c>
    </row>
    <row r="70" spans="1:2" x14ac:dyDescent="0.3">
      <c r="A70" s="5" t="s">
        <v>126</v>
      </c>
      <c r="B70" s="2">
        <v>29032690</v>
      </c>
    </row>
    <row r="71" spans="1:2" x14ac:dyDescent="0.3">
      <c r="A71" s="5" t="s">
        <v>127</v>
      </c>
      <c r="B71" s="2">
        <v>61538473</v>
      </c>
    </row>
    <row r="72" spans="1:2" x14ac:dyDescent="0.3">
      <c r="A72" s="5" t="s">
        <v>128</v>
      </c>
      <c r="B72" s="2">
        <v>15086285</v>
      </c>
    </row>
    <row r="73" spans="1:2" x14ac:dyDescent="0.3">
      <c r="A73" s="5" t="s">
        <v>129</v>
      </c>
      <c r="B73" s="2">
        <v>68161431</v>
      </c>
    </row>
    <row r="74" spans="1:2" x14ac:dyDescent="0.3">
      <c r="A74" s="5" t="s">
        <v>130</v>
      </c>
      <c r="B74" s="2">
        <v>58661192</v>
      </c>
    </row>
    <row r="75" spans="1:2" x14ac:dyDescent="0.3">
      <c r="A75" s="5" t="s">
        <v>131</v>
      </c>
      <c r="B75" s="2">
        <v>41643320</v>
      </c>
    </row>
    <row r="76" spans="1:2" x14ac:dyDescent="0.3">
      <c r="A76" s="5" t="s">
        <v>132</v>
      </c>
      <c r="B76" s="2">
        <v>18269310</v>
      </c>
    </row>
    <row r="77" spans="1:2" x14ac:dyDescent="0.3">
      <c r="A77" s="5" t="s">
        <v>133</v>
      </c>
      <c r="B77" s="2">
        <v>39798321</v>
      </c>
    </row>
    <row r="78" spans="1:2" x14ac:dyDescent="0.3">
      <c r="A78" s="5" t="s">
        <v>134</v>
      </c>
      <c r="B78" s="2">
        <v>44086473</v>
      </c>
    </row>
    <row r="79" spans="1:2" x14ac:dyDescent="0.3">
      <c r="A79" s="5" t="s">
        <v>135</v>
      </c>
      <c r="B79" s="2">
        <v>12429029</v>
      </c>
    </row>
    <row r="80" spans="1:2" x14ac:dyDescent="0.3">
      <c r="A80" s="5" t="s">
        <v>136</v>
      </c>
      <c r="B80" s="2">
        <v>39985802</v>
      </c>
    </row>
    <row r="81" spans="1:2" x14ac:dyDescent="0.3">
      <c r="A81" s="5" t="s">
        <v>137</v>
      </c>
      <c r="B81" s="2">
        <v>29637370</v>
      </c>
    </row>
    <row r="82" spans="1:2" x14ac:dyDescent="0.3">
      <c r="A82" s="5" t="s">
        <v>138</v>
      </c>
      <c r="B82" s="2">
        <v>5139443</v>
      </c>
    </row>
    <row r="83" spans="1:2" x14ac:dyDescent="0.3">
      <c r="A83" s="5" t="s">
        <v>139</v>
      </c>
      <c r="B83" s="2">
        <v>20180998</v>
      </c>
    </row>
    <row r="84" spans="1:2" x14ac:dyDescent="0.3">
      <c r="A84" s="5" t="s">
        <v>140</v>
      </c>
      <c r="B84" s="2">
        <v>51910980</v>
      </c>
    </row>
    <row r="85" spans="1:2" x14ac:dyDescent="0.3">
      <c r="A85" s="5" t="s">
        <v>141</v>
      </c>
      <c r="B85" s="2">
        <v>33000826</v>
      </c>
    </row>
    <row r="86" spans="1:2" x14ac:dyDescent="0.3">
      <c r="A86" s="5" t="s">
        <v>142</v>
      </c>
      <c r="B86" s="2">
        <v>56277017</v>
      </c>
    </row>
    <row r="87" spans="1:2" x14ac:dyDescent="0.3">
      <c r="A87" s="5" t="s">
        <v>143</v>
      </c>
      <c r="B87" s="2">
        <v>17349871</v>
      </c>
    </row>
    <row r="88" spans="1:2" x14ac:dyDescent="0.3">
      <c r="A88" s="5" t="s">
        <v>144</v>
      </c>
      <c r="B88" s="2">
        <v>57527909</v>
      </c>
    </row>
    <row r="89" spans="1:2" x14ac:dyDescent="0.3">
      <c r="A89" s="5" t="s">
        <v>145</v>
      </c>
      <c r="B89" s="2">
        <v>55353581</v>
      </c>
    </row>
    <row r="90" spans="1:2" x14ac:dyDescent="0.3">
      <c r="A90" s="5" t="s">
        <v>146</v>
      </c>
      <c r="B90" s="2">
        <v>15225797</v>
      </c>
    </row>
    <row r="91" spans="1:2" x14ac:dyDescent="0.3">
      <c r="A91" s="5" t="s">
        <v>147</v>
      </c>
      <c r="B91" s="2">
        <v>6484523</v>
      </c>
    </row>
    <row r="92" spans="1:2" x14ac:dyDescent="0.3">
      <c r="A92" s="5" t="s">
        <v>148</v>
      </c>
      <c r="B92" s="2">
        <v>29441707</v>
      </c>
    </row>
    <row r="93" spans="1:2" x14ac:dyDescent="0.3">
      <c r="A93" s="5" t="s">
        <v>149</v>
      </c>
      <c r="B93" s="2">
        <v>15415595</v>
      </c>
    </row>
    <row r="94" spans="1:2" x14ac:dyDescent="0.3">
      <c r="A94" s="5" t="s">
        <v>150</v>
      </c>
      <c r="B94" s="2">
        <v>71701928</v>
      </c>
    </row>
    <row r="95" spans="1:2" x14ac:dyDescent="0.3">
      <c r="A95" s="5" t="s">
        <v>151</v>
      </c>
      <c r="B95" s="2">
        <v>7924173</v>
      </c>
    </row>
    <row r="96" spans="1:2" x14ac:dyDescent="0.3">
      <c r="A96" s="5" t="s">
        <v>152</v>
      </c>
      <c r="B96" s="2">
        <v>61763606</v>
      </c>
    </row>
    <row r="97" spans="1:2" x14ac:dyDescent="0.3">
      <c r="A97" s="5" t="s">
        <v>153</v>
      </c>
      <c r="B97" s="2">
        <v>33191274</v>
      </c>
    </row>
    <row r="98" spans="1:2" x14ac:dyDescent="0.3">
      <c r="A98" s="5" t="s">
        <v>154</v>
      </c>
      <c r="B98" s="2">
        <v>31942196</v>
      </c>
    </row>
    <row r="99" spans="1:2" x14ac:dyDescent="0.3">
      <c r="A99" s="5" t="s">
        <v>155</v>
      </c>
      <c r="B99" s="2">
        <v>47623781</v>
      </c>
    </row>
    <row r="100" spans="1:2" x14ac:dyDescent="0.3">
      <c r="A100" s="5" t="s">
        <v>156</v>
      </c>
      <c r="B100" s="2">
        <v>37036555</v>
      </c>
    </row>
    <row r="101" spans="1:2" x14ac:dyDescent="0.3">
      <c r="A101" s="5" t="s">
        <v>17</v>
      </c>
      <c r="B101" s="2">
        <v>3600949332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Raw_Data</vt:lpstr>
      <vt:lpstr>Sales_Property Type</vt:lpstr>
      <vt:lpstr>Sales_Location</vt:lpstr>
      <vt:lpstr>Top Performing Agents</vt:lpstr>
      <vt:lpstr>Year over Year Growth</vt:lpstr>
      <vt:lpstr>Monthly Sales 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 S E R - P C</dc:creator>
  <cp:lastModifiedBy>Eisen Rivera</cp:lastModifiedBy>
  <dcterms:created xsi:type="dcterms:W3CDTF">2026-04-14T07:02:57Z</dcterms:created>
  <dcterms:modified xsi:type="dcterms:W3CDTF">2026-05-04T08:21:05Z</dcterms:modified>
</cp:coreProperties>
</file>